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Ibe\Documents\GitHub\sales-revenue-performance-analysis\excel\"/>
    </mc:Choice>
  </mc:AlternateContent>
  <xr:revisionPtr revIDLastSave="0" documentId="13_ncr:1_{3077801E-9B18-4CA1-A393-E772DF6EBE08}" xr6:coauthVersionLast="47" xr6:coauthVersionMax="47" xr10:uidLastSave="{00000000-0000-0000-0000-000000000000}"/>
  <bookViews>
    <workbookView xWindow="-110" yWindow="-110" windowWidth="19420" windowHeight="10420" tabRatio="500" activeTab="3" xr2:uid="{00000000-000D-0000-FFFF-FFFF00000000}"/>
  </bookViews>
  <sheets>
    <sheet name="Data" sheetId="1" r:id="rId1"/>
    <sheet name="PivotTable" sheetId="3" r:id="rId2"/>
    <sheet name="Charts" sheetId="4" r:id="rId3"/>
    <sheet name="Dashbaord" sheetId="5" r:id="rId4"/>
  </sheets>
  <definedNames>
    <definedName name="Slicer_Client">#N/A</definedName>
    <definedName name="Slicer_Region">#N/A</definedName>
    <definedName name="Slicer_Year">#N/A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5" i="3" l="1"/>
  <c r="K15" i="3"/>
  <c r="F31" i="3"/>
  <c r="G31" i="3"/>
  <c r="H31" i="3"/>
  <c r="E31" i="3"/>
  <c r="G30" i="3" a="1"/>
  <c r="G30" i="3" s="1"/>
  <c r="H30" i="3" a="1"/>
  <c r="H30" i="3" s="1"/>
  <c r="F30" i="3" a="1"/>
  <c r="F30" i="3" s="1"/>
  <c r="E30" i="3" a="1"/>
  <c r="E30" i="3" s="1"/>
  <c r="E32" i="3" s="1"/>
  <c r="H29" i="3"/>
  <c r="G29" i="3"/>
  <c r="F29" i="3"/>
  <c r="E29" i="3"/>
  <c r="I715" i="1"/>
  <c r="H715" i="1"/>
  <c r="I714" i="1"/>
  <c r="H714" i="1"/>
  <c r="I713" i="1"/>
  <c r="H713" i="1"/>
  <c r="I712" i="1"/>
  <c r="H712" i="1"/>
  <c r="I711" i="1"/>
  <c r="H711" i="1"/>
  <c r="I710" i="1"/>
  <c r="H710" i="1"/>
  <c r="I709" i="1"/>
  <c r="H709" i="1"/>
  <c r="I708" i="1"/>
  <c r="H708" i="1"/>
  <c r="I707" i="1"/>
  <c r="H707" i="1"/>
  <c r="I706" i="1"/>
  <c r="H706" i="1"/>
  <c r="I705" i="1"/>
  <c r="H705" i="1"/>
  <c r="I704" i="1"/>
  <c r="H704" i="1"/>
  <c r="I703" i="1"/>
  <c r="H703" i="1"/>
  <c r="I702" i="1"/>
  <c r="H702" i="1"/>
  <c r="I701" i="1"/>
  <c r="H701" i="1"/>
  <c r="I700" i="1"/>
  <c r="H700" i="1"/>
  <c r="I699" i="1"/>
  <c r="H699" i="1"/>
  <c r="I698" i="1"/>
  <c r="H698" i="1"/>
  <c r="I697" i="1"/>
  <c r="H697" i="1"/>
  <c r="I696" i="1"/>
  <c r="H696" i="1"/>
  <c r="I695" i="1"/>
  <c r="H695" i="1"/>
  <c r="I694" i="1"/>
  <c r="H694" i="1"/>
  <c r="I693" i="1"/>
  <c r="H693" i="1"/>
  <c r="I692" i="1"/>
  <c r="H692" i="1"/>
  <c r="I691" i="1"/>
  <c r="H691" i="1"/>
  <c r="I690" i="1"/>
  <c r="H690" i="1"/>
  <c r="I689" i="1"/>
  <c r="H689" i="1"/>
  <c r="I688" i="1"/>
  <c r="H688" i="1"/>
  <c r="I687" i="1"/>
  <c r="H687" i="1"/>
  <c r="I686" i="1"/>
  <c r="H686" i="1"/>
  <c r="I685" i="1"/>
  <c r="H685" i="1"/>
  <c r="I684" i="1"/>
  <c r="H684" i="1"/>
  <c r="I683" i="1"/>
  <c r="H683" i="1"/>
  <c r="I682" i="1"/>
  <c r="H682" i="1"/>
  <c r="I681" i="1"/>
  <c r="H681" i="1"/>
  <c r="I680" i="1"/>
  <c r="H680" i="1"/>
  <c r="I679" i="1"/>
  <c r="H679" i="1"/>
  <c r="I678" i="1"/>
  <c r="H678" i="1"/>
  <c r="I677" i="1"/>
  <c r="H677" i="1"/>
  <c r="I676" i="1"/>
  <c r="H676" i="1"/>
  <c r="I675" i="1"/>
  <c r="H675" i="1"/>
  <c r="I674" i="1"/>
  <c r="H674" i="1"/>
  <c r="I673" i="1"/>
  <c r="H673" i="1"/>
  <c r="I672" i="1"/>
  <c r="H672" i="1"/>
  <c r="I671" i="1"/>
  <c r="H671" i="1"/>
  <c r="I670" i="1"/>
  <c r="H670" i="1"/>
  <c r="I669" i="1"/>
  <c r="H669" i="1"/>
  <c r="I668" i="1"/>
  <c r="H668" i="1"/>
  <c r="I667" i="1"/>
  <c r="H667" i="1"/>
  <c r="I666" i="1"/>
  <c r="H666" i="1"/>
  <c r="I665" i="1"/>
  <c r="H665" i="1"/>
  <c r="I664" i="1"/>
  <c r="H664" i="1"/>
  <c r="I663" i="1"/>
  <c r="H663" i="1"/>
  <c r="I662" i="1"/>
  <c r="H662" i="1"/>
  <c r="I661" i="1"/>
  <c r="H661" i="1"/>
  <c r="I660" i="1"/>
  <c r="H660" i="1"/>
  <c r="I659" i="1"/>
  <c r="H659" i="1"/>
  <c r="I658" i="1"/>
  <c r="H658" i="1"/>
  <c r="I657" i="1"/>
  <c r="H657" i="1"/>
  <c r="I656" i="1"/>
  <c r="H656" i="1"/>
  <c r="I655" i="1"/>
  <c r="H655" i="1"/>
  <c r="I654" i="1"/>
  <c r="H654" i="1"/>
  <c r="I653" i="1"/>
  <c r="H653" i="1"/>
  <c r="I652" i="1"/>
  <c r="H652" i="1"/>
  <c r="I651" i="1"/>
  <c r="H651" i="1"/>
  <c r="I650" i="1"/>
  <c r="H650" i="1"/>
  <c r="I649" i="1"/>
  <c r="H649" i="1"/>
  <c r="I648" i="1"/>
  <c r="H648" i="1"/>
  <c r="I647" i="1"/>
  <c r="H647" i="1"/>
  <c r="I646" i="1"/>
  <c r="H646" i="1"/>
  <c r="I645" i="1"/>
  <c r="H645" i="1"/>
  <c r="I644" i="1"/>
  <c r="H644" i="1"/>
  <c r="I643" i="1"/>
  <c r="H643" i="1"/>
  <c r="I642" i="1"/>
  <c r="H642" i="1"/>
  <c r="I641" i="1"/>
  <c r="H641" i="1"/>
  <c r="I640" i="1"/>
  <c r="H640" i="1"/>
  <c r="I639" i="1"/>
  <c r="H639" i="1"/>
  <c r="I638" i="1"/>
  <c r="H638" i="1"/>
  <c r="I637" i="1"/>
  <c r="H637" i="1"/>
  <c r="I636" i="1"/>
  <c r="H636" i="1"/>
  <c r="I635" i="1"/>
  <c r="H635" i="1"/>
  <c r="I634" i="1"/>
  <c r="H634" i="1"/>
  <c r="I633" i="1"/>
  <c r="H633" i="1"/>
  <c r="I632" i="1"/>
  <c r="H632" i="1"/>
  <c r="I631" i="1"/>
  <c r="H631" i="1"/>
  <c r="I630" i="1"/>
  <c r="H630" i="1"/>
  <c r="I629" i="1"/>
  <c r="H629" i="1"/>
  <c r="I628" i="1"/>
  <c r="H628" i="1"/>
  <c r="I627" i="1"/>
  <c r="H627" i="1"/>
  <c r="I626" i="1"/>
  <c r="H626" i="1"/>
  <c r="I625" i="1"/>
  <c r="H625" i="1"/>
  <c r="I624" i="1"/>
  <c r="H624" i="1"/>
  <c r="I623" i="1"/>
  <c r="H623" i="1"/>
  <c r="I622" i="1"/>
  <c r="H622" i="1"/>
  <c r="I621" i="1"/>
  <c r="H621" i="1"/>
  <c r="I620" i="1"/>
  <c r="H620" i="1"/>
  <c r="I619" i="1"/>
  <c r="H619" i="1"/>
  <c r="I618" i="1"/>
  <c r="H618" i="1"/>
  <c r="I617" i="1"/>
  <c r="H617" i="1"/>
  <c r="I616" i="1"/>
  <c r="H616" i="1"/>
  <c r="I615" i="1"/>
  <c r="H615" i="1"/>
  <c r="I614" i="1"/>
  <c r="H614" i="1"/>
  <c r="I613" i="1"/>
  <c r="H613" i="1"/>
  <c r="I612" i="1"/>
  <c r="H612" i="1"/>
  <c r="I611" i="1"/>
  <c r="H611" i="1"/>
  <c r="I610" i="1"/>
  <c r="H610" i="1"/>
  <c r="I609" i="1"/>
  <c r="H609" i="1"/>
  <c r="I608" i="1"/>
  <c r="H608" i="1"/>
  <c r="I607" i="1"/>
  <c r="H607" i="1"/>
  <c r="I606" i="1"/>
  <c r="H606" i="1"/>
  <c r="I605" i="1"/>
  <c r="H605" i="1"/>
  <c r="I604" i="1"/>
  <c r="H604" i="1"/>
  <c r="I603" i="1"/>
  <c r="H603" i="1"/>
  <c r="I602" i="1"/>
  <c r="H602" i="1"/>
  <c r="I601" i="1"/>
  <c r="H601" i="1"/>
  <c r="I600" i="1"/>
  <c r="H600" i="1"/>
  <c r="I599" i="1"/>
  <c r="H599" i="1"/>
  <c r="I598" i="1"/>
  <c r="H598" i="1"/>
  <c r="I597" i="1"/>
  <c r="H597" i="1"/>
  <c r="I596" i="1"/>
  <c r="H596" i="1"/>
  <c r="I595" i="1"/>
  <c r="H595" i="1"/>
  <c r="I594" i="1"/>
  <c r="H594" i="1"/>
  <c r="I593" i="1"/>
  <c r="H593" i="1"/>
  <c r="I592" i="1"/>
  <c r="H592" i="1"/>
  <c r="I591" i="1"/>
  <c r="H591" i="1"/>
  <c r="I590" i="1"/>
  <c r="H590" i="1"/>
  <c r="I589" i="1"/>
  <c r="H589" i="1"/>
  <c r="I588" i="1"/>
  <c r="H588" i="1"/>
  <c r="I587" i="1"/>
  <c r="H587" i="1"/>
  <c r="I586" i="1"/>
  <c r="H586" i="1"/>
  <c r="I585" i="1"/>
  <c r="H585" i="1"/>
  <c r="I584" i="1"/>
  <c r="H584" i="1"/>
  <c r="I583" i="1"/>
  <c r="H583" i="1"/>
  <c r="I582" i="1"/>
  <c r="H582" i="1"/>
  <c r="I581" i="1"/>
  <c r="H581" i="1"/>
  <c r="I580" i="1"/>
  <c r="H580" i="1"/>
  <c r="I579" i="1"/>
  <c r="H579" i="1"/>
  <c r="I578" i="1"/>
  <c r="H578" i="1"/>
  <c r="I577" i="1"/>
  <c r="H577" i="1"/>
  <c r="I576" i="1"/>
  <c r="H576" i="1"/>
  <c r="I575" i="1"/>
  <c r="H575" i="1"/>
  <c r="I574" i="1"/>
  <c r="H574" i="1"/>
  <c r="I573" i="1"/>
  <c r="H573" i="1"/>
  <c r="I572" i="1"/>
  <c r="H572" i="1"/>
  <c r="I571" i="1"/>
  <c r="H571" i="1"/>
  <c r="I570" i="1"/>
  <c r="H570" i="1"/>
  <c r="I569" i="1"/>
  <c r="H569" i="1"/>
  <c r="I568" i="1"/>
  <c r="H568" i="1"/>
  <c r="I567" i="1"/>
  <c r="H567" i="1"/>
  <c r="I566" i="1"/>
  <c r="H566" i="1"/>
  <c r="I565" i="1"/>
  <c r="H565" i="1"/>
  <c r="I564" i="1"/>
  <c r="H564" i="1"/>
  <c r="I563" i="1"/>
  <c r="H563" i="1"/>
  <c r="I562" i="1"/>
  <c r="H562" i="1"/>
  <c r="I561" i="1"/>
  <c r="H561" i="1"/>
  <c r="I560" i="1"/>
  <c r="H560" i="1"/>
  <c r="I559" i="1"/>
  <c r="H559" i="1"/>
  <c r="I558" i="1"/>
  <c r="H558" i="1"/>
  <c r="I557" i="1"/>
  <c r="H557" i="1"/>
  <c r="I556" i="1"/>
  <c r="H556" i="1"/>
  <c r="I555" i="1"/>
  <c r="H555" i="1"/>
  <c r="I554" i="1"/>
  <c r="H554" i="1"/>
  <c r="I553" i="1"/>
  <c r="H553" i="1"/>
  <c r="I552" i="1"/>
  <c r="H552" i="1"/>
  <c r="I551" i="1"/>
  <c r="H551" i="1"/>
  <c r="I550" i="1"/>
  <c r="H550" i="1"/>
  <c r="I549" i="1"/>
  <c r="H549" i="1"/>
  <c r="I548" i="1"/>
  <c r="H548" i="1"/>
  <c r="I547" i="1"/>
  <c r="H547" i="1"/>
  <c r="I546" i="1"/>
  <c r="H546" i="1"/>
  <c r="I545" i="1"/>
  <c r="H545" i="1"/>
  <c r="I544" i="1"/>
  <c r="H544" i="1"/>
  <c r="I543" i="1"/>
  <c r="H543" i="1"/>
  <c r="I542" i="1"/>
  <c r="H542" i="1"/>
  <c r="I541" i="1"/>
  <c r="H541" i="1"/>
  <c r="I540" i="1"/>
  <c r="H540" i="1"/>
  <c r="I539" i="1"/>
  <c r="H539" i="1"/>
  <c r="I538" i="1"/>
  <c r="H538" i="1"/>
  <c r="I537" i="1"/>
  <c r="H537" i="1"/>
  <c r="I536" i="1"/>
  <c r="H536" i="1"/>
  <c r="I535" i="1"/>
  <c r="H535" i="1"/>
  <c r="I534" i="1"/>
  <c r="H534" i="1"/>
  <c r="I533" i="1"/>
  <c r="H533" i="1"/>
  <c r="I532" i="1"/>
  <c r="H532" i="1"/>
  <c r="I531" i="1"/>
  <c r="H531" i="1"/>
  <c r="I530" i="1"/>
  <c r="H530" i="1"/>
  <c r="I529" i="1"/>
  <c r="H529" i="1"/>
  <c r="I528" i="1"/>
  <c r="H528" i="1"/>
  <c r="I527" i="1"/>
  <c r="H527" i="1"/>
  <c r="I526" i="1"/>
  <c r="H526" i="1"/>
  <c r="I525" i="1"/>
  <c r="H525" i="1"/>
  <c r="I524" i="1"/>
  <c r="H524" i="1"/>
  <c r="I523" i="1"/>
  <c r="H523" i="1"/>
  <c r="I522" i="1"/>
  <c r="H522" i="1"/>
  <c r="I521" i="1"/>
  <c r="H521" i="1"/>
  <c r="I520" i="1"/>
  <c r="H520" i="1"/>
  <c r="I519" i="1"/>
  <c r="H519" i="1"/>
  <c r="I518" i="1"/>
  <c r="H518" i="1"/>
  <c r="I517" i="1"/>
  <c r="H517" i="1"/>
  <c r="I516" i="1"/>
  <c r="H516" i="1"/>
  <c r="I515" i="1"/>
  <c r="H515" i="1"/>
  <c r="I514" i="1"/>
  <c r="H514" i="1"/>
  <c r="I513" i="1"/>
  <c r="H513" i="1"/>
  <c r="I512" i="1"/>
  <c r="H512" i="1"/>
  <c r="I511" i="1"/>
  <c r="H511" i="1"/>
  <c r="I510" i="1"/>
  <c r="H510" i="1"/>
  <c r="I509" i="1"/>
  <c r="H509" i="1"/>
  <c r="I508" i="1"/>
  <c r="H508" i="1"/>
  <c r="I507" i="1"/>
  <c r="H507" i="1"/>
  <c r="I506" i="1"/>
  <c r="H506" i="1"/>
  <c r="I505" i="1"/>
  <c r="H505" i="1"/>
  <c r="I504" i="1"/>
  <c r="H504" i="1"/>
  <c r="I503" i="1"/>
  <c r="H503" i="1"/>
  <c r="I502" i="1"/>
  <c r="H502" i="1"/>
  <c r="I501" i="1"/>
  <c r="H501" i="1"/>
  <c r="I500" i="1"/>
  <c r="H500" i="1"/>
  <c r="I499" i="1"/>
  <c r="H499" i="1"/>
  <c r="I498" i="1"/>
  <c r="H498" i="1"/>
  <c r="I497" i="1"/>
  <c r="H497" i="1"/>
  <c r="I496" i="1"/>
  <c r="H496" i="1"/>
  <c r="I495" i="1"/>
  <c r="H495" i="1"/>
  <c r="I494" i="1"/>
  <c r="H494" i="1"/>
  <c r="I493" i="1"/>
  <c r="H493" i="1"/>
  <c r="I492" i="1"/>
  <c r="H492" i="1"/>
  <c r="I491" i="1"/>
  <c r="H491" i="1"/>
  <c r="I490" i="1"/>
  <c r="H490" i="1"/>
  <c r="I489" i="1"/>
  <c r="H489" i="1"/>
  <c r="I488" i="1"/>
  <c r="H488" i="1"/>
  <c r="I487" i="1"/>
  <c r="H487" i="1"/>
  <c r="I486" i="1"/>
  <c r="H486" i="1"/>
  <c r="I485" i="1"/>
  <c r="H485" i="1"/>
  <c r="I484" i="1"/>
  <c r="H484" i="1"/>
  <c r="I483" i="1"/>
  <c r="H483" i="1"/>
  <c r="I482" i="1"/>
  <c r="H482" i="1"/>
  <c r="I481" i="1"/>
  <c r="H481" i="1"/>
  <c r="I480" i="1"/>
  <c r="H480" i="1"/>
  <c r="I479" i="1"/>
  <c r="H479" i="1"/>
  <c r="I478" i="1"/>
  <c r="H478" i="1"/>
  <c r="I477" i="1"/>
  <c r="H477" i="1"/>
  <c r="I476" i="1"/>
  <c r="H476" i="1"/>
  <c r="I475" i="1"/>
  <c r="H475" i="1"/>
  <c r="I474" i="1"/>
  <c r="H474" i="1"/>
  <c r="I473" i="1"/>
  <c r="H473" i="1"/>
  <c r="I472" i="1"/>
  <c r="H472" i="1"/>
  <c r="I471" i="1"/>
  <c r="H471" i="1"/>
  <c r="I470" i="1"/>
  <c r="H470" i="1"/>
  <c r="I469" i="1"/>
  <c r="H469" i="1"/>
  <c r="I468" i="1"/>
  <c r="H468" i="1"/>
  <c r="I467" i="1"/>
  <c r="H467" i="1"/>
  <c r="I466" i="1"/>
  <c r="H466" i="1"/>
  <c r="I465" i="1"/>
  <c r="H465" i="1"/>
  <c r="I464" i="1"/>
  <c r="H464" i="1"/>
  <c r="I463" i="1"/>
  <c r="H463" i="1"/>
  <c r="I462" i="1"/>
  <c r="H462" i="1"/>
  <c r="I461" i="1"/>
  <c r="H461" i="1"/>
  <c r="I460" i="1"/>
  <c r="H460" i="1"/>
  <c r="I459" i="1"/>
  <c r="H459" i="1"/>
  <c r="I458" i="1"/>
  <c r="H458" i="1"/>
  <c r="I457" i="1"/>
  <c r="H457" i="1"/>
  <c r="I456" i="1"/>
  <c r="H456" i="1"/>
  <c r="I455" i="1"/>
  <c r="H455" i="1"/>
  <c r="I454" i="1"/>
  <c r="H454" i="1"/>
  <c r="I453" i="1"/>
  <c r="H453" i="1"/>
  <c r="I452" i="1"/>
  <c r="H452" i="1"/>
  <c r="I451" i="1"/>
  <c r="H451" i="1"/>
  <c r="I450" i="1"/>
  <c r="H450" i="1"/>
  <c r="I449" i="1"/>
  <c r="H449" i="1"/>
  <c r="I448" i="1"/>
  <c r="H448" i="1"/>
  <c r="I447" i="1"/>
  <c r="H447" i="1"/>
  <c r="I446" i="1"/>
  <c r="H446" i="1"/>
  <c r="I445" i="1"/>
  <c r="H445" i="1"/>
  <c r="I444" i="1"/>
  <c r="H444" i="1"/>
  <c r="I443" i="1"/>
  <c r="H443" i="1"/>
  <c r="I442" i="1"/>
  <c r="H442" i="1"/>
  <c r="I441" i="1"/>
  <c r="H441" i="1"/>
  <c r="I440" i="1"/>
  <c r="H440" i="1"/>
  <c r="I439" i="1"/>
  <c r="H439" i="1"/>
  <c r="I438" i="1"/>
  <c r="H438" i="1"/>
  <c r="I437" i="1"/>
  <c r="H437" i="1"/>
  <c r="I436" i="1"/>
  <c r="H436" i="1"/>
  <c r="I435" i="1"/>
  <c r="H435" i="1"/>
  <c r="I434" i="1"/>
  <c r="H434" i="1"/>
  <c r="I433" i="1"/>
  <c r="H433" i="1"/>
  <c r="I432" i="1"/>
  <c r="H432" i="1"/>
  <c r="I431" i="1"/>
  <c r="H431" i="1"/>
  <c r="I430" i="1"/>
  <c r="H430" i="1"/>
  <c r="I429" i="1"/>
  <c r="H429" i="1"/>
  <c r="I428" i="1"/>
  <c r="H428" i="1"/>
  <c r="I427" i="1"/>
  <c r="H427" i="1"/>
  <c r="I426" i="1"/>
  <c r="H426" i="1"/>
  <c r="I425" i="1"/>
  <c r="H425" i="1"/>
  <c r="I424" i="1"/>
  <c r="H424" i="1"/>
  <c r="I423" i="1"/>
  <c r="H423" i="1"/>
  <c r="I422" i="1"/>
  <c r="H422" i="1"/>
  <c r="I421" i="1"/>
  <c r="H421" i="1"/>
  <c r="I420" i="1"/>
  <c r="H420" i="1"/>
  <c r="I419" i="1"/>
  <c r="H419" i="1"/>
  <c r="I418" i="1"/>
  <c r="H418" i="1"/>
  <c r="I417" i="1"/>
  <c r="H417" i="1"/>
  <c r="I416" i="1"/>
  <c r="H416" i="1"/>
  <c r="I415" i="1"/>
  <c r="H415" i="1"/>
  <c r="I414" i="1"/>
  <c r="H414" i="1"/>
  <c r="I413" i="1"/>
  <c r="H413" i="1"/>
  <c r="I412" i="1"/>
  <c r="H412" i="1"/>
  <c r="I411" i="1"/>
  <c r="H411" i="1"/>
  <c r="I410" i="1"/>
  <c r="H410" i="1"/>
  <c r="I409" i="1"/>
  <c r="H409" i="1"/>
  <c r="I408" i="1"/>
  <c r="H408" i="1"/>
  <c r="I407" i="1"/>
  <c r="H407" i="1"/>
  <c r="I406" i="1"/>
  <c r="H406" i="1"/>
  <c r="I405" i="1"/>
  <c r="H405" i="1"/>
  <c r="I404" i="1"/>
  <c r="H404" i="1"/>
  <c r="I403" i="1"/>
  <c r="H403" i="1"/>
  <c r="I402" i="1"/>
  <c r="H402" i="1"/>
  <c r="I401" i="1"/>
  <c r="H401" i="1"/>
  <c r="I400" i="1"/>
  <c r="H400" i="1"/>
  <c r="I399" i="1"/>
  <c r="H399" i="1"/>
  <c r="I398" i="1"/>
  <c r="H398" i="1"/>
  <c r="I397" i="1"/>
  <c r="H397" i="1"/>
  <c r="I396" i="1"/>
  <c r="H396" i="1"/>
  <c r="I395" i="1"/>
  <c r="H395" i="1"/>
  <c r="I394" i="1"/>
  <c r="H394" i="1"/>
  <c r="I393" i="1"/>
  <c r="H393" i="1"/>
  <c r="I392" i="1"/>
  <c r="H392" i="1"/>
  <c r="I391" i="1"/>
  <c r="H391" i="1"/>
  <c r="I390" i="1"/>
  <c r="H390" i="1"/>
  <c r="I389" i="1"/>
  <c r="H389" i="1"/>
  <c r="I388" i="1"/>
  <c r="H388" i="1"/>
  <c r="I387" i="1"/>
  <c r="H387" i="1"/>
  <c r="I386" i="1"/>
  <c r="H386" i="1"/>
  <c r="I385" i="1"/>
  <c r="H385" i="1"/>
  <c r="I384" i="1"/>
  <c r="H384" i="1"/>
  <c r="I383" i="1"/>
  <c r="H383" i="1"/>
  <c r="I382" i="1"/>
  <c r="H382" i="1"/>
  <c r="I381" i="1"/>
  <c r="H381" i="1"/>
  <c r="I380" i="1"/>
  <c r="H380" i="1"/>
  <c r="I379" i="1"/>
  <c r="H379" i="1"/>
  <c r="I378" i="1"/>
  <c r="H378" i="1"/>
  <c r="I377" i="1"/>
  <c r="H377" i="1"/>
  <c r="I376" i="1"/>
  <c r="H376" i="1"/>
  <c r="I375" i="1"/>
  <c r="H375" i="1"/>
  <c r="I374" i="1"/>
  <c r="H374" i="1"/>
  <c r="I373" i="1"/>
  <c r="H373" i="1"/>
  <c r="I372" i="1"/>
  <c r="H372" i="1"/>
  <c r="I371" i="1"/>
  <c r="H371" i="1"/>
  <c r="I370" i="1"/>
  <c r="H370" i="1"/>
  <c r="I369" i="1"/>
  <c r="H369" i="1"/>
  <c r="I368" i="1"/>
  <c r="H368" i="1"/>
  <c r="I367" i="1"/>
  <c r="H367" i="1"/>
  <c r="I366" i="1"/>
  <c r="H366" i="1"/>
  <c r="I365" i="1"/>
  <c r="H365" i="1"/>
  <c r="I364" i="1"/>
  <c r="H364" i="1"/>
  <c r="I363" i="1"/>
  <c r="H363" i="1"/>
  <c r="I362" i="1"/>
  <c r="H362" i="1"/>
  <c r="I361" i="1"/>
  <c r="H361" i="1"/>
  <c r="I360" i="1"/>
  <c r="H360" i="1"/>
  <c r="I359" i="1"/>
  <c r="H359" i="1"/>
  <c r="I358" i="1"/>
  <c r="H358" i="1"/>
  <c r="I357" i="1"/>
  <c r="H357" i="1"/>
  <c r="I356" i="1"/>
  <c r="H356" i="1"/>
  <c r="I355" i="1"/>
  <c r="H355" i="1"/>
  <c r="I354" i="1"/>
  <c r="H354" i="1"/>
  <c r="I353" i="1"/>
  <c r="H353" i="1"/>
  <c r="I352" i="1"/>
  <c r="H352" i="1"/>
  <c r="I351" i="1"/>
  <c r="H351" i="1"/>
  <c r="I350" i="1"/>
  <c r="H350" i="1"/>
  <c r="I349" i="1"/>
  <c r="H349" i="1"/>
  <c r="I348" i="1"/>
  <c r="H348" i="1"/>
  <c r="I347" i="1"/>
  <c r="H347" i="1"/>
  <c r="I346" i="1"/>
  <c r="H346" i="1"/>
  <c r="I345" i="1"/>
  <c r="H345" i="1"/>
  <c r="I344" i="1"/>
  <c r="H344" i="1"/>
  <c r="I343" i="1"/>
  <c r="H343" i="1"/>
  <c r="I342" i="1"/>
  <c r="H342" i="1"/>
  <c r="I341" i="1"/>
  <c r="H341" i="1"/>
  <c r="I340" i="1"/>
  <c r="H340" i="1"/>
  <c r="I339" i="1"/>
  <c r="H339" i="1"/>
  <c r="I338" i="1"/>
  <c r="H338" i="1"/>
  <c r="I337" i="1"/>
  <c r="H337" i="1"/>
  <c r="I336" i="1"/>
  <c r="H336" i="1"/>
  <c r="I335" i="1"/>
  <c r="H335" i="1"/>
  <c r="I334" i="1"/>
  <c r="H334" i="1"/>
  <c r="I333" i="1"/>
  <c r="H333" i="1"/>
  <c r="I332" i="1"/>
  <c r="H332" i="1"/>
  <c r="I331" i="1"/>
  <c r="H331" i="1"/>
  <c r="I330" i="1"/>
  <c r="H330" i="1"/>
  <c r="I329" i="1"/>
  <c r="H329" i="1"/>
  <c r="I328" i="1"/>
  <c r="H328" i="1"/>
  <c r="I327" i="1"/>
  <c r="H327" i="1"/>
  <c r="I326" i="1"/>
  <c r="H326" i="1"/>
  <c r="I325" i="1"/>
  <c r="H325" i="1"/>
  <c r="I324" i="1"/>
  <c r="H324" i="1"/>
  <c r="I323" i="1"/>
  <c r="H323" i="1"/>
  <c r="I322" i="1"/>
  <c r="H322" i="1"/>
  <c r="I321" i="1"/>
  <c r="H321" i="1"/>
  <c r="I320" i="1"/>
  <c r="H320" i="1"/>
  <c r="I319" i="1"/>
  <c r="H319" i="1"/>
  <c r="I318" i="1"/>
  <c r="H318" i="1"/>
  <c r="I317" i="1"/>
  <c r="H317" i="1"/>
  <c r="I316" i="1"/>
  <c r="H316" i="1"/>
  <c r="I315" i="1"/>
  <c r="H315" i="1"/>
  <c r="I314" i="1"/>
  <c r="H314" i="1"/>
  <c r="I313" i="1"/>
  <c r="H313" i="1"/>
  <c r="I312" i="1"/>
  <c r="H312"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I297" i="1"/>
  <c r="H297" i="1"/>
  <c r="I296" i="1"/>
  <c r="H296" i="1"/>
  <c r="I295" i="1"/>
  <c r="H295" i="1"/>
  <c r="I294" i="1"/>
  <c r="H294" i="1"/>
  <c r="I293" i="1"/>
  <c r="H293" i="1"/>
  <c r="I292" i="1"/>
  <c r="H292" i="1"/>
  <c r="I291" i="1"/>
  <c r="H291" i="1"/>
  <c r="I290" i="1"/>
  <c r="H290" i="1"/>
  <c r="I289" i="1"/>
  <c r="H289" i="1"/>
  <c r="I288" i="1"/>
  <c r="H288" i="1"/>
  <c r="I287" i="1"/>
  <c r="H287" i="1"/>
  <c r="I286" i="1"/>
  <c r="H286" i="1"/>
  <c r="I285" i="1"/>
  <c r="H285" i="1"/>
  <c r="I284" i="1"/>
  <c r="H284" i="1"/>
  <c r="I283" i="1"/>
  <c r="H283" i="1"/>
  <c r="I282" i="1"/>
  <c r="H282" i="1"/>
  <c r="I281" i="1"/>
  <c r="H281" i="1"/>
  <c r="I280" i="1"/>
  <c r="H280" i="1"/>
  <c r="I279" i="1"/>
  <c r="H279" i="1"/>
  <c r="I278" i="1"/>
  <c r="H278" i="1"/>
  <c r="I277" i="1"/>
  <c r="H277" i="1"/>
  <c r="I276" i="1"/>
  <c r="H276" i="1"/>
  <c r="I275" i="1"/>
  <c r="H275" i="1"/>
  <c r="I274" i="1"/>
  <c r="H274" i="1"/>
  <c r="I273" i="1"/>
  <c r="H273" i="1"/>
  <c r="I272" i="1"/>
  <c r="H272" i="1"/>
  <c r="I271" i="1"/>
  <c r="H271" i="1"/>
  <c r="I270" i="1"/>
  <c r="H270" i="1"/>
  <c r="I269" i="1"/>
  <c r="H269" i="1"/>
  <c r="I268" i="1"/>
  <c r="H268" i="1"/>
  <c r="I267" i="1"/>
  <c r="H267" i="1"/>
  <c r="I266" i="1"/>
  <c r="H266" i="1"/>
  <c r="I265" i="1"/>
  <c r="H265" i="1"/>
  <c r="I264" i="1"/>
  <c r="H264" i="1"/>
  <c r="I263" i="1"/>
  <c r="H263" i="1"/>
  <c r="I262" i="1"/>
  <c r="H262" i="1"/>
  <c r="I261" i="1"/>
  <c r="H261" i="1"/>
  <c r="I260" i="1"/>
  <c r="H260" i="1"/>
  <c r="I259" i="1"/>
  <c r="H259" i="1"/>
  <c r="I258" i="1"/>
  <c r="H258" i="1"/>
  <c r="I257" i="1"/>
  <c r="H257" i="1"/>
  <c r="I256" i="1"/>
  <c r="H256" i="1"/>
  <c r="I255" i="1"/>
  <c r="H255" i="1"/>
  <c r="I254" i="1"/>
  <c r="H254" i="1"/>
  <c r="I253" i="1"/>
  <c r="H253" i="1"/>
  <c r="I252" i="1"/>
  <c r="H252" i="1"/>
  <c r="I251" i="1"/>
  <c r="H251" i="1"/>
  <c r="I250" i="1"/>
  <c r="H250" i="1"/>
  <c r="I249" i="1"/>
  <c r="H249" i="1"/>
  <c r="I248" i="1"/>
  <c r="H248" i="1"/>
  <c r="I247" i="1"/>
  <c r="H247" i="1"/>
  <c r="I246" i="1"/>
  <c r="H246" i="1"/>
  <c r="I245" i="1"/>
  <c r="H245" i="1"/>
  <c r="I244" i="1"/>
  <c r="H244" i="1"/>
  <c r="I243" i="1"/>
  <c r="H243" i="1"/>
  <c r="I242" i="1"/>
  <c r="H242" i="1"/>
  <c r="I241" i="1"/>
  <c r="H241" i="1"/>
  <c r="I240" i="1"/>
  <c r="H240" i="1"/>
  <c r="I239" i="1"/>
  <c r="H239" i="1"/>
  <c r="I238" i="1"/>
  <c r="H238" i="1"/>
  <c r="I237" i="1"/>
  <c r="H237" i="1"/>
  <c r="I236" i="1"/>
  <c r="H236" i="1"/>
  <c r="I235" i="1"/>
  <c r="H235" i="1"/>
  <c r="I234" i="1"/>
  <c r="H234" i="1"/>
  <c r="I233" i="1"/>
  <c r="H233" i="1"/>
  <c r="I232" i="1"/>
  <c r="H232" i="1"/>
  <c r="I231" i="1"/>
  <c r="H231" i="1"/>
  <c r="I230" i="1"/>
  <c r="H230" i="1"/>
  <c r="I229" i="1"/>
  <c r="H229" i="1"/>
  <c r="I228" i="1"/>
  <c r="H228" i="1"/>
  <c r="I227" i="1"/>
  <c r="H227" i="1"/>
  <c r="I226" i="1"/>
  <c r="H226" i="1"/>
  <c r="I225" i="1"/>
  <c r="H225" i="1"/>
  <c r="I224" i="1"/>
  <c r="H224" i="1"/>
  <c r="I223" i="1"/>
  <c r="H223" i="1"/>
  <c r="I222" i="1"/>
  <c r="H222" i="1"/>
  <c r="I221" i="1"/>
  <c r="H221" i="1"/>
  <c r="I220" i="1"/>
  <c r="H220" i="1"/>
  <c r="I219" i="1"/>
  <c r="H219" i="1"/>
  <c r="I218" i="1"/>
  <c r="H218" i="1"/>
  <c r="I217" i="1"/>
  <c r="H217" i="1"/>
  <c r="I216" i="1"/>
  <c r="H216" i="1"/>
  <c r="I215" i="1"/>
  <c r="H215" i="1"/>
  <c r="I214" i="1"/>
  <c r="H214" i="1"/>
  <c r="I213" i="1"/>
  <c r="H213" i="1"/>
  <c r="I212" i="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I196" i="1"/>
  <c r="H196" i="1"/>
  <c r="I195" i="1"/>
  <c r="H195" i="1"/>
  <c r="I194" i="1"/>
  <c r="H194" i="1"/>
  <c r="I193" i="1"/>
  <c r="H193" i="1"/>
  <c r="I192" i="1"/>
  <c r="H192" i="1"/>
  <c r="I191" i="1"/>
  <c r="H191" i="1"/>
  <c r="I190" i="1"/>
  <c r="H190" i="1"/>
  <c r="I189" i="1"/>
  <c r="H189" i="1"/>
  <c r="I188" i="1"/>
  <c r="H188" i="1"/>
  <c r="I187" i="1"/>
  <c r="H187" i="1"/>
  <c r="I186" i="1"/>
  <c r="H186" i="1"/>
  <c r="I185" i="1"/>
  <c r="H185" i="1"/>
  <c r="I184" i="1"/>
  <c r="H184" i="1"/>
  <c r="I183" i="1"/>
  <c r="H183" i="1"/>
  <c r="I182" i="1"/>
  <c r="H182" i="1"/>
  <c r="I181" i="1"/>
  <c r="H181" i="1"/>
  <c r="I180" i="1"/>
  <c r="H180" i="1"/>
  <c r="I179" i="1"/>
  <c r="H179" i="1"/>
  <c r="I178" i="1"/>
  <c r="H178" i="1"/>
  <c r="I177" i="1"/>
  <c r="H177" i="1"/>
  <c r="I176" i="1"/>
  <c r="H176" i="1"/>
  <c r="I175" i="1"/>
  <c r="H175" i="1"/>
  <c r="I174" i="1"/>
  <c r="H174" i="1"/>
  <c r="I173" i="1"/>
  <c r="H173" i="1"/>
  <c r="I172" i="1"/>
  <c r="H172" i="1"/>
  <c r="I171" i="1"/>
  <c r="H171" i="1"/>
  <c r="I170" i="1"/>
  <c r="H170" i="1"/>
  <c r="I169" i="1"/>
  <c r="H169" i="1"/>
  <c r="I168" i="1"/>
  <c r="H168" i="1"/>
  <c r="I167" i="1"/>
  <c r="H167" i="1"/>
  <c r="I166" i="1"/>
  <c r="H166" i="1"/>
  <c r="I165" i="1"/>
  <c r="H165" i="1"/>
  <c r="I164" i="1"/>
  <c r="H164" i="1"/>
  <c r="I163" i="1"/>
  <c r="H163" i="1"/>
  <c r="I162" i="1"/>
  <c r="H162" i="1"/>
  <c r="I161" i="1"/>
  <c r="H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I137" i="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I9" i="1"/>
  <c r="H9" i="1"/>
  <c r="I8" i="1"/>
  <c r="H8" i="1"/>
  <c r="I7" i="1"/>
  <c r="H7" i="1"/>
  <c r="I6" i="1"/>
  <c r="H6" i="1"/>
  <c r="I5" i="1"/>
  <c r="H5" i="1"/>
  <c r="I4" i="1"/>
  <c r="H4" i="1"/>
  <c r="I3" i="1"/>
  <c r="H3" i="1"/>
  <c r="I2" i="1"/>
  <c r="H2" i="1"/>
  <c r="H32" i="3" l="1"/>
  <c r="G32" i="3"/>
  <c r="F3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<sst xmlns="http://schemas.openxmlformats.org/spreadsheetml/2006/main" count="3632" uniqueCount="581">
  <si>
    <t>Date</t>
  </si>
  <si>
    <t>Client</t>
  </si>
  <si>
    <t>Region</t>
  </si>
  <si>
    <t>Month</t>
  </si>
  <si>
    <t>Year</t>
  </si>
  <si>
    <t>Quarter</t>
  </si>
  <si>
    <t>Amount</t>
  </si>
  <si>
    <t>YearQuarter</t>
  </si>
  <si>
    <t>PartialYear</t>
  </si>
  <si>
    <t>2019-07-15</t>
  </si>
  <si>
    <t>ABC Corporation</t>
  </si>
  <si>
    <t>South</t>
  </si>
  <si>
    <t>July</t>
  </si>
  <si>
    <t>Q3</t>
  </si>
  <si>
    <t>2019-07-19</t>
  </si>
  <si>
    <t>Bridges Company</t>
  </si>
  <si>
    <t>East</t>
  </si>
  <si>
    <t>2019-07-26</t>
  </si>
  <si>
    <t>Timefall Inc.</t>
  </si>
  <si>
    <t>2019-08-11</t>
  </si>
  <si>
    <t>Chiral Corporation</t>
  </si>
  <si>
    <t>North</t>
  </si>
  <si>
    <t>August</t>
  </si>
  <si>
    <t>2019-08-15</t>
  </si>
  <si>
    <t>Titan Industries</t>
  </si>
  <si>
    <t>West</t>
  </si>
  <si>
    <t>2019-08-22</t>
  </si>
  <si>
    <t>Eagle Security</t>
  </si>
  <si>
    <t>2019-08-24</t>
  </si>
  <si>
    <t>Sol Company</t>
  </si>
  <si>
    <t>2019-09-15</t>
  </si>
  <si>
    <t>September</t>
  </si>
  <si>
    <t>2019-09-17</t>
  </si>
  <si>
    <t>2019-10-16</t>
  </si>
  <si>
    <t>October</t>
  </si>
  <si>
    <t>Q4</t>
  </si>
  <si>
    <t>2019-10-25</t>
  </si>
  <si>
    <t>2019-11-05</t>
  </si>
  <si>
    <t>November</t>
  </si>
  <si>
    <t>2019-11-19</t>
  </si>
  <si>
    <t>2019-11-25</t>
  </si>
  <si>
    <t>2019-11-27</t>
  </si>
  <si>
    <t>2019-11-29</t>
  </si>
  <si>
    <t>2019-12-25</t>
  </si>
  <si>
    <t>December</t>
  </si>
  <si>
    <t>2019-12-27</t>
  </si>
  <si>
    <t>2019-12-30</t>
  </si>
  <si>
    <t>2020-01-01</t>
  </si>
  <si>
    <t>January</t>
  </si>
  <si>
    <t>Q1</t>
  </si>
  <si>
    <t>2020-01-02</t>
  </si>
  <si>
    <t>2020-01-03</t>
  </si>
  <si>
    <t>2020-01-09</t>
  </si>
  <si>
    <t>2020-01-11</t>
  </si>
  <si>
    <t>2020-01-12</t>
  </si>
  <si>
    <t>2020-01-13</t>
  </si>
  <si>
    <t>2020-01-15</t>
  </si>
  <si>
    <t>2020-01-16</t>
  </si>
  <si>
    <t>2020-01-17</t>
  </si>
  <si>
    <t>2020-01-23</t>
  </si>
  <si>
    <t>2020-01-24</t>
  </si>
  <si>
    <t>2020-01-25</t>
  </si>
  <si>
    <t>2020-01-26</t>
  </si>
  <si>
    <t>2020-01-28</t>
  </si>
  <si>
    <t>2020-01-29</t>
  </si>
  <si>
    <t>2020-02-01</t>
  </si>
  <si>
    <t>February</t>
  </si>
  <si>
    <t>2020-02-02</t>
  </si>
  <si>
    <t>2020-02-03</t>
  </si>
  <si>
    <t>2020-02-10</t>
  </si>
  <si>
    <t>2020-02-14</t>
  </si>
  <si>
    <t>2020-02-15</t>
  </si>
  <si>
    <t>2020-02-17</t>
  </si>
  <si>
    <t>2020-02-19</t>
  </si>
  <si>
    <t>2020-02-21</t>
  </si>
  <si>
    <t>2020-02-22</t>
  </si>
  <si>
    <t>2020-02-25</t>
  </si>
  <si>
    <t>2020-02-26</t>
  </si>
  <si>
    <t>2020-02-27</t>
  </si>
  <si>
    <t>2020-03-01</t>
  </si>
  <si>
    <t>March</t>
  </si>
  <si>
    <t>2020-03-02</t>
  </si>
  <si>
    <t>2020-03-04</t>
  </si>
  <si>
    <t>2020-03-07</t>
  </si>
  <si>
    <t>2020-03-11</t>
  </si>
  <si>
    <t>2020-03-13</t>
  </si>
  <si>
    <t>2020-03-15</t>
  </si>
  <si>
    <t>2020-03-16</t>
  </si>
  <si>
    <t>2020-03-17</t>
  </si>
  <si>
    <t>2020-03-19</t>
  </si>
  <si>
    <t>2020-03-21</t>
  </si>
  <si>
    <t>2020-03-22</t>
  </si>
  <si>
    <t>2020-03-24</t>
  </si>
  <si>
    <t>2020-04-03</t>
  </si>
  <si>
    <t>April</t>
  </si>
  <si>
    <t>2020-04-05</t>
  </si>
  <si>
    <t>2020-04-06</t>
  </si>
  <si>
    <t>2020-04-09</t>
  </si>
  <si>
    <t>2020-04-10</t>
  </si>
  <si>
    <t>2020-04-11</t>
  </si>
  <si>
    <t>2020-04-12</t>
  </si>
  <si>
    <t>2020-04-14</t>
  </si>
  <si>
    <t>2020-04-18</t>
  </si>
  <si>
    <t>2020-04-20</t>
  </si>
  <si>
    <t>2020-04-24</t>
  </si>
  <si>
    <t>2020-04-26</t>
  </si>
  <si>
    <t>2020-04-27</t>
  </si>
  <si>
    <t>2020-04-28</t>
  </si>
  <si>
    <t>2020-04-30</t>
  </si>
  <si>
    <t>2020-05-01</t>
  </si>
  <si>
    <t>May</t>
  </si>
  <si>
    <t>Q2</t>
  </si>
  <si>
    <t>2020-05-02</t>
  </si>
  <si>
    <t>2020-05-04</t>
  </si>
  <si>
    <t>2020-05-05</t>
  </si>
  <si>
    <t>2020-05-06</t>
  </si>
  <si>
    <t>2020-05-08</t>
  </si>
  <si>
    <t>2020-05-10</t>
  </si>
  <si>
    <t>2020-05-13</t>
  </si>
  <si>
    <t>2020-05-14</t>
  </si>
  <si>
    <t>2020-05-16</t>
  </si>
  <si>
    <t>2020-05-20</t>
  </si>
  <si>
    <t>2020-05-21</t>
  </si>
  <si>
    <t>2020-05-22</t>
  </si>
  <si>
    <t>2020-05-23</t>
  </si>
  <si>
    <t>2020-05-24</t>
  </si>
  <si>
    <t>2020-05-26</t>
  </si>
  <si>
    <t>2020-05-27</t>
  </si>
  <si>
    <t>2020-05-28</t>
  </si>
  <si>
    <t>2020-05-29</t>
  </si>
  <si>
    <t>2020-06-01</t>
  </si>
  <si>
    <t>June</t>
  </si>
  <si>
    <t>2020-06-06</t>
  </si>
  <si>
    <t>2020-06-07</t>
  </si>
  <si>
    <t>2020-06-09</t>
  </si>
  <si>
    <t>2020-06-10</t>
  </si>
  <si>
    <t>2020-06-13</t>
  </si>
  <si>
    <t>2020-06-16</t>
  </si>
  <si>
    <t>2020-06-19</t>
  </si>
  <si>
    <t>2020-06-20</t>
  </si>
  <si>
    <t>2020-06-26</t>
  </si>
  <si>
    <t>2020-06-28</t>
  </si>
  <si>
    <t>2020-07-02</t>
  </si>
  <si>
    <t>2020-07-07</t>
  </si>
  <si>
    <t>2020-07-08</t>
  </si>
  <si>
    <t>2020-07-09</t>
  </si>
  <si>
    <t>2020-07-10</t>
  </si>
  <si>
    <t>2020-07-19</t>
  </si>
  <si>
    <t>2020-07-20</t>
  </si>
  <si>
    <t>2020-07-22</t>
  </si>
  <si>
    <t>2020-07-23</t>
  </si>
  <si>
    <t>2020-07-29</t>
  </si>
  <si>
    <t>2020-08-01</t>
  </si>
  <si>
    <t>2020-08-02</t>
  </si>
  <si>
    <t>2020-08-06</t>
  </si>
  <si>
    <t>2020-08-07</t>
  </si>
  <si>
    <t>2020-08-09</t>
  </si>
  <si>
    <t>2020-08-10</t>
  </si>
  <si>
    <t>2020-08-11</t>
  </si>
  <si>
    <t>2020-08-15</t>
  </si>
  <si>
    <t>2020-08-16</t>
  </si>
  <si>
    <t>2020-08-17</t>
  </si>
  <si>
    <t>2020-08-21</t>
  </si>
  <si>
    <t>2020-08-22</t>
  </si>
  <si>
    <t>2020-08-24</t>
  </si>
  <si>
    <t>2020-08-27</t>
  </si>
  <si>
    <t>2020-08-30</t>
  </si>
  <si>
    <t>2020-09-01</t>
  </si>
  <si>
    <t>2020-09-02</t>
  </si>
  <si>
    <t>2020-09-03</t>
  </si>
  <si>
    <t>2020-09-06</t>
  </si>
  <si>
    <t>2020-09-08</t>
  </si>
  <si>
    <t>2020-09-09</t>
  </si>
  <si>
    <t>2020-09-11</t>
  </si>
  <si>
    <t>2020-09-15</t>
  </si>
  <si>
    <t>2020-09-16</t>
  </si>
  <si>
    <t>2020-09-18</t>
  </si>
  <si>
    <t>2020-09-20</t>
  </si>
  <si>
    <t>2020-09-24</t>
  </si>
  <si>
    <t>2020-09-25</t>
  </si>
  <si>
    <t>2020-09-26</t>
  </si>
  <si>
    <t>2020-09-27</t>
  </si>
  <si>
    <t>2020-09-28</t>
  </si>
  <si>
    <t>2020-09-29</t>
  </si>
  <si>
    <t>2020-09-30</t>
  </si>
  <si>
    <t>2020-10-07</t>
  </si>
  <si>
    <t>2020-10-08</t>
  </si>
  <si>
    <t>2020-10-09</t>
  </si>
  <si>
    <t>2020-10-10</t>
  </si>
  <si>
    <t>2020-10-12</t>
  </si>
  <si>
    <t>2020-10-14</t>
  </si>
  <si>
    <t>2020-10-15</t>
  </si>
  <si>
    <t>2020-10-18</t>
  </si>
  <si>
    <t>2020-10-22</t>
  </si>
  <si>
    <t>2020-10-24</t>
  </si>
  <si>
    <t>2020-10-26</t>
  </si>
  <si>
    <t>2020-10-28</t>
  </si>
  <si>
    <t>2020-10-29</t>
  </si>
  <si>
    <t>2020-10-30</t>
  </si>
  <si>
    <t>2020-10-31</t>
  </si>
  <si>
    <t>2020-11-01</t>
  </si>
  <si>
    <t>2020-11-04</t>
  </si>
  <si>
    <t>2020-11-05</t>
  </si>
  <si>
    <t>2020-11-11</t>
  </si>
  <si>
    <t>2020-11-13</t>
  </si>
  <si>
    <t>2020-11-14</t>
  </si>
  <si>
    <t>2020-11-15</t>
  </si>
  <si>
    <t>2020-11-17</t>
  </si>
  <si>
    <t>2020-11-19</t>
  </si>
  <si>
    <t>2020-11-25</t>
  </si>
  <si>
    <t>2020-11-29</t>
  </si>
  <si>
    <t>2020-12-05</t>
  </si>
  <si>
    <t>2020-12-07</t>
  </si>
  <si>
    <t>2020-12-08</t>
  </si>
  <si>
    <t>2020-12-10</t>
  </si>
  <si>
    <t>2020-12-12</t>
  </si>
  <si>
    <t>2020-12-13</t>
  </si>
  <si>
    <t>2020-12-14</t>
  </si>
  <si>
    <t>2020-12-15</t>
  </si>
  <si>
    <t>2020-12-17</t>
  </si>
  <si>
    <t>2020-12-18</t>
  </si>
  <si>
    <t>2020-12-20</t>
  </si>
  <si>
    <t>2020-12-21</t>
  </si>
  <si>
    <t>2020-12-22</t>
  </si>
  <si>
    <t>2020-12-28</t>
  </si>
  <si>
    <t>2021-01-03</t>
  </si>
  <si>
    <t>2021-01-04</t>
  </si>
  <si>
    <t>2021-01-06</t>
  </si>
  <si>
    <t>2021-01-07</t>
  </si>
  <si>
    <t>2021-01-09</t>
  </si>
  <si>
    <t>2021-01-12</t>
  </si>
  <si>
    <t>2021-01-15</t>
  </si>
  <si>
    <t>2021-01-16</t>
  </si>
  <si>
    <t>2021-01-18</t>
  </si>
  <si>
    <t>2021-01-19</t>
  </si>
  <si>
    <t>2021-01-21</t>
  </si>
  <si>
    <t>2021-01-23</t>
  </si>
  <si>
    <t>2021-01-24</t>
  </si>
  <si>
    <t>2021-01-25</t>
  </si>
  <si>
    <t>2021-01-26</t>
  </si>
  <si>
    <t>2021-01-27</t>
  </si>
  <si>
    <t>2021-01-28</t>
  </si>
  <si>
    <t>2021-01-31</t>
  </si>
  <si>
    <t>2021-02-01</t>
  </si>
  <si>
    <t>2021-02-05</t>
  </si>
  <si>
    <t>2021-02-07</t>
  </si>
  <si>
    <t>2021-02-14</t>
  </si>
  <si>
    <t>2021-02-17</t>
  </si>
  <si>
    <t>2021-02-19</t>
  </si>
  <si>
    <t>2021-02-22</t>
  </si>
  <si>
    <t>2021-02-23</t>
  </si>
  <si>
    <t>2021-02-24</t>
  </si>
  <si>
    <t>2021-03-02</t>
  </si>
  <si>
    <t>2021-03-03</t>
  </si>
  <si>
    <t>2021-03-04</t>
  </si>
  <si>
    <t>2021-03-05</t>
  </si>
  <si>
    <t>2021-03-07</t>
  </si>
  <si>
    <t>2021-03-10</t>
  </si>
  <si>
    <t>2021-03-13</t>
  </si>
  <si>
    <t>2021-03-14</t>
  </si>
  <si>
    <t>2021-03-17</t>
  </si>
  <si>
    <t>2021-03-19</t>
  </si>
  <si>
    <t>2021-03-22</t>
  </si>
  <si>
    <t>2021-03-25</t>
  </si>
  <si>
    <t>2021-03-26</t>
  </si>
  <si>
    <t>2021-03-28</t>
  </si>
  <si>
    <t>2021-03-30</t>
  </si>
  <si>
    <t>2021-04-01</t>
  </si>
  <si>
    <t>2021-04-02</t>
  </si>
  <si>
    <t>2021-04-03</t>
  </si>
  <si>
    <t>2021-04-04</t>
  </si>
  <si>
    <t>2021-04-05</t>
  </si>
  <si>
    <t>2021-04-06</t>
  </si>
  <si>
    <t>2021-04-07</t>
  </si>
  <si>
    <t>2021-04-09</t>
  </si>
  <si>
    <t>2021-04-10</t>
  </si>
  <si>
    <t>2021-04-12</t>
  </si>
  <si>
    <t>2021-04-14</t>
  </si>
  <si>
    <t>2021-04-15</t>
  </si>
  <si>
    <t>2021-04-16</t>
  </si>
  <si>
    <t>2021-04-17</t>
  </si>
  <si>
    <t>2021-04-19</t>
  </si>
  <si>
    <t>2021-04-22</t>
  </si>
  <si>
    <t>2021-04-23</t>
  </si>
  <si>
    <t>2021-04-24</t>
  </si>
  <si>
    <t>2021-04-26</t>
  </si>
  <si>
    <t>2021-04-27</t>
  </si>
  <si>
    <t>2021-04-28</t>
  </si>
  <si>
    <t>2021-04-29</t>
  </si>
  <si>
    <t>2021-04-30</t>
  </si>
  <si>
    <t>2021-05-02</t>
  </si>
  <si>
    <t>2021-05-04</t>
  </si>
  <si>
    <t>2021-05-05</t>
  </si>
  <si>
    <t>2021-05-08</t>
  </si>
  <si>
    <t>2021-05-09</t>
  </si>
  <si>
    <t>2021-05-10</t>
  </si>
  <si>
    <t>2021-05-11</t>
  </si>
  <si>
    <t>2021-05-15</t>
  </si>
  <si>
    <t>2021-05-16</t>
  </si>
  <si>
    <t>2021-05-19</t>
  </si>
  <si>
    <t>2021-05-26</t>
  </si>
  <si>
    <t>2021-05-27</t>
  </si>
  <si>
    <t>2021-05-28</t>
  </si>
  <si>
    <t>2021-05-30</t>
  </si>
  <si>
    <t>2021-06-01</t>
  </si>
  <si>
    <t>2021-06-03</t>
  </si>
  <si>
    <t>2021-06-04</t>
  </si>
  <si>
    <t>2021-06-06</t>
  </si>
  <si>
    <t>2021-06-11</t>
  </si>
  <si>
    <t>2021-06-14</t>
  </si>
  <si>
    <t>2021-06-15</t>
  </si>
  <si>
    <t>2021-06-17</t>
  </si>
  <si>
    <t>2021-06-20</t>
  </si>
  <si>
    <t>2021-06-21</t>
  </si>
  <si>
    <t>2021-06-24</t>
  </si>
  <si>
    <t>2021-06-26</t>
  </si>
  <si>
    <t>2021-06-27</t>
  </si>
  <si>
    <t>2021-07-02</t>
  </si>
  <si>
    <t>2021-07-03</t>
  </si>
  <si>
    <t>2021-07-08</t>
  </si>
  <si>
    <t>2021-07-16</t>
  </si>
  <si>
    <t>2021-07-17</t>
  </si>
  <si>
    <t>2021-07-18</t>
  </si>
  <si>
    <t>2021-07-19</t>
  </si>
  <si>
    <t>2021-07-21</t>
  </si>
  <si>
    <t>2021-07-22</t>
  </si>
  <si>
    <t>2021-07-28</t>
  </si>
  <si>
    <t>2021-07-29</t>
  </si>
  <si>
    <t>2021-08-01</t>
  </si>
  <si>
    <t>2021-08-06</t>
  </si>
  <si>
    <t>2021-08-07</t>
  </si>
  <si>
    <t>2021-08-08</t>
  </si>
  <si>
    <t>2021-08-09</t>
  </si>
  <si>
    <t>2021-08-10</t>
  </si>
  <si>
    <t>2021-08-11</t>
  </si>
  <si>
    <t>2021-08-13</t>
  </si>
  <si>
    <t>2021-08-14</t>
  </si>
  <si>
    <t>2021-08-15</t>
  </si>
  <si>
    <t>2021-08-16</t>
  </si>
  <si>
    <t>2021-08-18</t>
  </si>
  <si>
    <t>2021-08-20</t>
  </si>
  <si>
    <t>2021-08-21</t>
  </si>
  <si>
    <t>2021-08-23</t>
  </si>
  <si>
    <t>2021-08-24</t>
  </si>
  <si>
    <t>2021-08-28</t>
  </si>
  <si>
    <t>2021-08-31</t>
  </si>
  <si>
    <t>2021-09-03</t>
  </si>
  <si>
    <t>2021-09-04</t>
  </si>
  <si>
    <t>2021-09-05</t>
  </si>
  <si>
    <t>2021-09-07</t>
  </si>
  <si>
    <t>2021-09-15</t>
  </si>
  <si>
    <t>2021-09-17</t>
  </si>
  <si>
    <t>2021-09-18</t>
  </si>
  <si>
    <t>2021-09-21</t>
  </si>
  <si>
    <t>2021-09-22</t>
  </si>
  <si>
    <t>2021-09-24</t>
  </si>
  <si>
    <t>2021-09-25</t>
  </si>
  <si>
    <t>2021-10-03</t>
  </si>
  <si>
    <t>2021-10-06</t>
  </si>
  <si>
    <t>2021-10-09</t>
  </si>
  <si>
    <t>2021-10-11</t>
  </si>
  <si>
    <t>2021-10-15</t>
  </si>
  <si>
    <t>2021-10-16</t>
  </si>
  <si>
    <t>2021-10-18</t>
  </si>
  <si>
    <t>2021-10-22</t>
  </si>
  <si>
    <t>2021-10-23</t>
  </si>
  <si>
    <t>2021-10-24</t>
  </si>
  <si>
    <t>2021-10-28</t>
  </si>
  <si>
    <t>2021-10-29</t>
  </si>
  <si>
    <t>2021-11-02</t>
  </si>
  <si>
    <t>2021-11-04</t>
  </si>
  <si>
    <t>2021-11-05</t>
  </si>
  <si>
    <t>2021-11-06</t>
  </si>
  <si>
    <t>2021-11-08</t>
  </si>
  <si>
    <t>2021-11-09</t>
  </si>
  <si>
    <t>2021-11-11</t>
  </si>
  <si>
    <t>2021-11-12</t>
  </si>
  <si>
    <t>2021-11-13</t>
  </si>
  <si>
    <t>2021-11-14</t>
  </si>
  <si>
    <t>2021-11-15</t>
  </si>
  <si>
    <t>2021-11-18</t>
  </si>
  <si>
    <t>2021-11-20</t>
  </si>
  <si>
    <t>2021-11-22</t>
  </si>
  <si>
    <t>2021-11-23</t>
  </si>
  <si>
    <t>2021-11-24</t>
  </si>
  <si>
    <t>2021-11-25</t>
  </si>
  <si>
    <t>2021-11-26</t>
  </si>
  <si>
    <t>2021-11-29</t>
  </si>
  <si>
    <t>2021-12-08</t>
  </si>
  <si>
    <t>2021-12-09</t>
  </si>
  <si>
    <t>2021-12-10</t>
  </si>
  <si>
    <t>2021-12-14</t>
  </si>
  <si>
    <t>2021-12-18</t>
  </si>
  <si>
    <t>2021-12-20</t>
  </si>
  <si>
    <t>2021-12-22</t>
  </si>
  <si>
    <t>2021-12-24</t>
  </si>
  <si>
    <t>2021-12-26</t>
  </si>
  <si>
    <t>2021-12-28</t>
  </si>
  <si>
    <t>2021-12-29</t>
  </si>
  <si>
    <t>2022-01-04</t>
  </si>
  <si>
    <t>2022-01-12</t>
  </si>
  <si>
    <t>2022-01-14</t>
  </si>
  <si>
    <t>2022-01-15</t>
  </si>
  <si>
    <t>2022-01-16</t>
  </si>
  <si>
    <t>2022-01-18</t>
  </si>
  <si>
    <t>2022-01-21</t>
  </si>
  <si>
    <t>2022-01-27</t>
  </si>
  <si>
    <t>2022-01-28</t>
  </si>
  <si>
    <t>2022-01-29</t>
  </si>
  <si>
    <t>2022-01-30</t>
  </si>
  <si>
    <t>2022-01-31</t>
  </si>
  <si>
    <t>2022-02-01</t>
  </si>
  <si>
    <t>2022-02-02</t>
  </si>
  <si>
    <t>2022-02-05</t>
  </si>
  <si>
    <t>2022-02-06</t>
  </si>
  <si>
    <t>2022-02-07</t>
  </si>
  <si>
    <t>2022-02-10</t>
  </si>
  <si>
    <t>2022-02-11</t>
  </si>
  <si>
    <t>2022-02-13</t>
  </si>
  <si>
    <t>2022-02-14</t>
  </si>
  <si>
    <t>2022-02-15</t>
  </si>
  <si>
    <t>2022-02-17</t>
  </si>
  <si>
    <t>2022-02-20</t>
  </si>
  <si>
    <t>2022-02-21</t>
  </si>
  <si>
    <t>2022-02-22</t>
  </si>
  <si>
    <t>2022-02-24</t>
  </si>
  <si>
    <t>2022-02-25</t>
  </si>
  <si>
    <t>2022-03-02</t>
  </si>
  <si>
    <t>2022-03-04</t>
  </si>
  <si>
    <t>2022-03-05</t>
  </si>
  <si>
    <t>2022-03-06</t>
  </si>
  <si>
    <t>2022-03-07</t>
  </si>
  <si>
    <t>2022-03-08</t>
  </si>
  <si>
    <t>2022-03-09</t>
  </si>
  <si>
    <t>2022-03-10</t>
  </si>
  <si>
    <t>2022-03-12</t>
  </si>
  <si>
    <t>2022-03-14</t>
  </si>
  <si>
    <t>2022-03-15</t>
  </si>
  <si>
    <t>2022-03-16</t>
  </si>
  <si>
    <t>2022-03-17</t>
  </si>
  <si>
    <t>2022-03-18</t>
  </si>
  <si>
    <t>2022-03-20</t>
  </si>
  <si>
    <t>2022-03-21</t>
  </si>
  <si>
    <t>2022-03-23</t>
  </si>
  <si>
    <t>2022-03-24</t>
  </si>
  <si>
    <t>2022-03-25</t>
  </si>
  <si>
    <t>2022-03-27</t>
  </si>
  <si>
    <t>2022-03-28</t>
  </si>
  <si>
    <t>2022-03-29</t>
  </si>
  <si>
    <t>2022-03-30</t>
  </si>
  <si>
    <t>2022-04-03</t>
  </si>
  <si>
    <t>2022-04-04</t>
  </si>
  <si>
    <t>2022-04-05</t>
  </si>
  <si>
    <t>2022-04-07</t>
  </si>
  <si>
    <t>2022-04-11</t>
  </si>
  <si>
    <t>2022-04-12</t>
  </si>
  <si>
    <t>2022-04-14</t>
  </si>
  <si>
    <t>2022-04-20</t>
  </si>
  <si>
    <t>2022-04-21</t>
  </si>
  <si>
    <t>2022-04-23</t>
  </si>
  <si>
    <t>2022-04-24</t>
  </si>
  <si>
    <t>2022-04-28</t>
  </si>
  <si>
    <t>2022-04-30</t>
  </si>
  <si>
    <t>2022-05-04</t>
  </si>
  <si>
    <t>2022-05-06</t>
  </si>
  <si>
    <t>2022-05-07</t>
  </si>
  <si>
    <t>2022-05-10</t>
  </si>
  <si>
    <t>2022-05-11</t>
  </si>
  <si>
    <t>2022-05-12</t>
  </si>
  <si>
    <t>2022-05-16</t>
  </si>
  <si>
    <t>2022-05-17</t>
  </si>
  <si>
    <t>2022-05-18</t>
  </si>
  <si>
    <t>2022-05-20</t>
  </si>
  <si>
    <t>2022-05-21</t>
  </si>
  <si>
    <t>2022-05-22</t>
  </si>
  <si>
    <t>2022-05-24</t>
  </si>
  <si>
    <t>2022-05-26</t>
  </si>
  <si>
    <t>2022-05-27</t>
  </si>
  <si>
    <t>2022-05-28</t>
  </si>
  <si>
    <t>2022-05-29</t>
  </si>
  <si>
    <t>2022-05-30</t>
  </si>
  <si>
    <t>2022-06-01</t>
  </si>
  <si>
    <t>2022-06-02</t>
  </si>
  <si>
    <t>2022-06-03</t>
  </si>
  <si>
    <t>2022-06-05</t>
  </si>
  <si>
    <t>2022-06-08</t>
  </si>
  <si>
    <t>2022-06-09</t>
  </si>
  <si>
    <t>2022-06-12</t>
  </si>
  <si>
    <t>2022-06-13</t>
  </si>
  <si>
    <t>2022-06-14</t>
  </si>
  <si>
    <t>2022-06-15</t>
  </si>
  <si>
    <t>2022-06-17</t>
  </si>
  <si>
    <t>2022-06-18</t>
  </si>
  <si>
    <t>2022-06-21</t>
  </si>
  <si>
    <t>2022-06-22</t>
  </si>
  <si>
    <t>2022-06-23</t>
  </si>
  <si>
    <t>2022-06-27</t>
  </si>
  <si>
    <t>2022-06-28</t>
  </si>
  <si>
    <t>2022-06-29</t>
  </si>
  <si>
    <t>2022-07-02</t>
  </si>
  <si>
    <t>2022-07-04</t>
  </si>
  <si>
    <t>2022-07-08</t>
  </si>
  <si>
    <t>2022-07-09</t>
  </si>
  <si>
    <t>2022-07-12</t>
  </si>
  <si>
    <t>2022-07-13</t>
  </si>
  <si>
    <t>2022-07-15</t>
  </si>
  <si>
    <t>2022-07-16</t>
  </si>
  <si>
    <t>2022-07-19</t>
  </si>
  <si>
    <t>2022-07-25</t>
  </si>
  <si>
    <t>2022-07-26</t>
  </si>
  <si>
    <t>2022-07-31</t>
  </si>
  <si>
    <t>2022-08-01</t>
  </si>
  <si>
    <t>2022-08-02</t>
  </si>
  <si>
    <t>2022-08-05</t>
  </si>
  <si>
    <t>2022-08-06</t>
  </si>
  <si>
    <t>2022-08-10</t>
  </si>
  <si>
    <t>2022-08-11</t>
  </si>
  <si>
    <t>2022-08-13</t>
  </si>
  <si>
    <t>2022-08-14</t>
  </si>
  <si>
    <t>2022-08-15</t>
  </si>
  <si>
    <t>2022-08-17</t>
  </si>
  <si>
    <t>2022-08-23</t>
  </si>
  <si>
    <t>2022-08-24</t>
  </si>
  <si>
    <t>2022-08-26</t>
  </si>
  <si>
    <t>2022-08-29</t>
  </si>
  <si>
    <t>2022-08-31</t>
  </si>
  <si>
    <t>2022-09-01</t>
  </si>
  <si>
    <t>2022-09-02</t>
  </si>
  <si>
    <t>2022-09-07</t>
  </si>
  <si>
    <t>2022-09-11</t>
  </si>
  <si>
    <t>2022-09-12</t>
  </si>
  <si>
    <t>2022-09-13</t>
  </si>
  <si>
    <t>2022-09-15</t>
  </si>
  <si>
    <t>2022-09-16</t>
  </si>
  <si>
    <t>2022-09-18</t>
  </si>
  <si>
    <t>2022-09-20</t>
  </si>
  <si>
    <t>2022-09-21</t>
  </si>
  <si>
    <t>2022-09-28</t>
  </si>
  <si>
    <t>2022-09-29</t>
  </si>
  <si>
    <t>2022-09-30</t>
  </si>
  <si>
    <t>2022-10-01</t>
  </si>
  <si>
    <t>2022-10-02</t>
  </si>
  <si>
    <t>2022-10-04</t>
  </si>
  <si>
    <t>2022-10-05</t>
  </si>
  <si>
    <t>2022-10-06</t>
  </si>
  <si>
    <t>2022-10-07</t>
  </si>
  <si>
    <t>2022-10-08</t>
  </si>
  <si>
    <t>2022-10-09</t>
  </si>
  <si>
    <t>2022-10-11</t>
  </si>
  <si>
    <t>2022-10-13</t>
  </si>
  <si>
    <t>2022-10-15</t>
  </si>
  <si>
    <t>2022-10-19</t>
  </si>
  <si>
    <t>2022-10-20</t>
  </si>
  <si>
    <t>2022-10-23</t>
  </si>
  <si>
    <t>2022-10-24</t>
  </si>
  <si>
    <t>2022-10-25</t>
  </si>
  <si>
    <t>2022-10-27</t>
  </si>
  <si>
    <t>2022-10-29</t>
  </si>
  <si>
    <t>2022-10-30</t>
  </si>
  <si>
    <t>Row Labels</t>
  </si>
  <si>
    <t>2019-Q3</t>
  </si>
  <si>
    <t>2019-Q4</t>
  </si>
  <si>
    <t>2020-Q1</t>
  </si>
  <si>
    <t>2020-Q2</t>
  </si>
  <si>
    <t>2020-Q3</t>
  </si>
  <si>
    <t>2020-Q4</t>
  </si>
  <si>
    <t>2021-Q1</t>
  </si>
  <si>
    <t>2021-Q2</t>
  </si>
  <si>
    <t>2021-Q3</t>
  </si>
  <si>
    <t>2021-Q4</t>
  </si>
  <si>
    <t>2022-Q1</t>
  </si>
  <si>
    <t>2022-Q2</t>
  </si>
  <si>
    <t>2022-Q3</t>
  </si>
  <si>
    <t>2022-Q4</t>
  </si>
  <si>
    <t>Grand Total</t>
  </si>
  <si>
    <t>Sum of Amount</t>
  </si>
  <si>
    <t>Column Labels</t>
  </si>
  <si>
    <t>Top-3 Client Concentration %</t>
  </si>
  <si>
    <t>Top-3 Revenue</t>
  </si>
  <si>
    <t>Total Revenue</t>
  </si>
  <si>
    <t>Concentration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</si>
</sst>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4" x14ac:knownFonts="1">
    <font>
      <sz val="11"/>
      <color theme="1"/>
      <name val="Calibri"/>
      <family val="2"/>
      <charset val="1"/>
    </font>
    <font>
      <sz val="10"/>
      <name val="Arial"/>
      <family val="2"/>
    </font>
    <font>
      <b/>
      <sz val="11"/>
      <color rgb="FFFFFFFF"/>
      <name val="Arial"/>
      <family val="2"/>
    </font>
    <font>
      <sz val="10"/>
      <name val="Arial"/>
      <family val="2"/>
    </font>
  </fonts>
  <fills count="3">
    <fill>
      <patternFill patternType="none"/>
    </fill>
    <fill>
      <patternFill patternType="gray125"/>
    </fill>
    <fill>
      <patternFill patternType="solid">
        <fgColor rgb="FF1F4E44"/>
        <bgColor rgb="FF003366"/>
      </patternFill>
    </fill>
  </fills>
  <borders count="1">
    <border>
      <left/>
      <right/>
      <top/>
      <bottom/>
      <diagonal/>
    </border>
  </borders>
  <cellStyleXfs count="2">
    <xf numFmtId="0" fontId="0" fillId="0" borderId="0"/>
    <xf numFmtId="9" fontId="1" fillId="0" borderId="0" applyBorder="0" applyAlignment="0" applyProtection="0"/>
  </cellStyleXfs>
  <cellXfs count="10">
    <xf numFmtId="0" fontId="0" fillId="0" borderId="0" xfId="0"/>
    <xf numFmtId="0" fontId="2" fillId="2" borderId="0" xfId="0" applyFont="1" applyFill="1" applyAlignment="1">
      <alignment horizontal="center"/>
    </xf>
    <xf numFmtId="0" fontId="3" fillId="0" borderId="0" xfId="0" applyFont="1"/>
    <xf numFmtId="164" fontId="3"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2" fontId="0" fillId="0" borderId="0" xfId="0" applyNumberFormat="1"/>
    <xf numFmtId="165" fontId="1" fillId="0" borderId="0" xfId="1" applyNumberForma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[Sales_Revenue_Performance_Analysis.xlsx]PivotTable!Revenue trend</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Total</c:v>
                </c:pt>
              </c:strCache>
            </c:strRef>
          </c:tx>
          <c:spPr>
            <a:ln w="28575" cap="rnd">
              <a:solidFill>
                <a:schemeClr val="accent1"/>
              </a:solidFill>
              <a:round/>
            </a:ln>
            <a:effectLst/>
          </c:spPr>
          <c:marker>
            <c:symbol val="none"/>
          </c:marker>
          <c:cat>
            <c:strRef>
              <c:f>PivotTable!$A$4:$A$18</c:f>
              <c:strCache>
                <c:ptCount val="14"/>
                <c:pt idx="0">
                  <c:v>2019-Q3</c:v>
                </c:pt>
                <c:pt idx="1">
                  <c:v>2019-Q4</c:v>
                </c:pt>
                <c:pt idx="2">
                  <c:v>2020-Q1</c:v>
                </c:pt>
                <c:pt idx="3">
                  <c:v>2020-Q2</c:v>
                </c:pt>
                <c:pt idx="4">
                  <c:v>2020-Q3</c:v>
                </c:pt>
                <c:pt idx="5">
                  <c:v>2020-Q4</c:v>
                </c:pt>
                <c:pt idx="6">
                  <c:v>2021-Q1</c:v>
                </c:pt>
                <c:pt idx="7">
                  <c:v>2021-Q2</c:v>
                </c:pt>
                <c:pt idx="8">
                  <c:v>2021-Q3</c:v>
                </c:pt>
                <c:pt idx="9">
                  <c:v>2021-Q4</c:v>
                </c:pt>
                <c:pt idx="10">
                  <c:v>2022-Q1</c:v>
                </c:pt>
                <c:pt idx="11">
                  <c:v>2022-Q2</c:v>
                </c:pt>
                <c:pt idx="12">
                  <c:v>2022-Q3</c:v>
                </c:pt>
                <c:pt idx="13">
                  <c:v>2022-Q4</c:v>
                </c:pt>
              </c:strCache>
            </c:strRef>
          </c:cat>
          <c:val>
            <c:numRef>
              <c:f>PivotTable!$B$4:$B$18</c:f>
              <c:numCache>
                <c:formatCode>\$#,##0</c:formatCode>
                <c:ptCount val="14"/>
                <c:pt idx="0">
                  <c:v>8781612</c:v>
                </c:pt>
                <c:pt idx="1">
                  <c:v>18807759</c:v>
                </c:pt>
                <c:pt idx="2">
                  <c:v>117075187</c:v>
                </c:pt>
                <c:pt idx="3">
                  <c:v>158092546</c:v>
                </c:pt>
                <c:pt idx="4">
                  <c:v>217660901</c:v>
                </c:pt>
                <c:pt idx="5">
                  <c:v>278804013</c:v>
                </c:pt>
                <c:pt idx="6">
                  <c:v>363863429</c:v>
                </c:pt>
                <c:pt idx="7">
                  <c:v>404946546</c:v>
                </c:pt>
                <c:pt idx="8">
                  <c:v>453909992</c:v>
                </c:pt>
                <c:pt idx="9">
                  <c:v>505793725</c:v>
                </c:pt>
                <c:pt idx="10">
                  <c:v>603276472</c:v>
                </c:pt>
                <c:pt idx="11">
                  <c:v>658694388</c:v>
                </c:pt>
                <c:pt idx="12">
                  <c:v>724768224</c:v>
                </c:pt>
                <c:pt idx="13">
                  <c:v>748130981</c:v>
                </c:pt>
              </c:numCache>
            </c:numRef>
          </c:val>
          <c:smooth val="0"/>
          <c:extLst>
            <c:ext xmlns:c16="http://schemas.microsoft.com/office/drawing/2014/chart" uri="{C3380CC4-5D6E-409C-BE32-E72D297353CC}">
              <c16:uniqueId val="{00000000-A807-44CB-904B-F5800BE2D8ED}"/>
            </c:ext>
          </c:extLst>
        </c:ser>
        <c:dLbls>
          <c:showLegendKey val="0"/>
          <c:showVal val="0"/>
          <c:showCatName val="0"/>
          <c:showSerName val="0"/>
          <c:showPercent val="0"/>
          <c:showBubbleSize val="0"/>
        </c:dLbls>
        <c:smooth val="0"/>
        <c:axId val="2093048144"/>
        <c:axId val="2100733696"/>
      </c:lineChart>
      <c:catAx>
        <c:axId val="209304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33696"/>
        <c:crosses val="autoZero"/>
        <c:auto val="1"/>
        <c:lblAlgn val="ctr"/>
        <c:lblOffset val="100"/>
        <c:noMultiLvlLbl val="0"/>
      </c:catAx>
      <c:valAx>
        <c:axId val="210073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04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[Sales_Revenue_Performance_Analysis.xlsx]PivotTable!Regional performance</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PivotTable!$E$6:$E$7</c:f>
              <c:strCache>
                <c:ptCount val="1"/>
                <c:pt idx="0">
                  <c:v>2019</c:v>
                </c:pt>
              </c:strCache>
            </c:strRef>
          </c:tx>
          <c:spPr>
            <a:solidFill>
              <a:schemeClr val="accent1"/>
            </a:solidFill>
            <a:ln>
              <a:noFill/>
            </a:ln>
            <a:effectLst/>
          </c:spPr>
          <c:invertIfNegative val="0"/>
          <c:cat>
            <c:strRef>
              <c:f>PivotTable!$D$8:$D$12</c:f>
              <c:strCache>
                <c:ptCount val="4"/>
                <c:pt idx="0">
                  <c:v>East</c:v>
                </c:pt>
                <c:pt idx="1">
                  <c:v>North</c:v>
                </c:pt>
                <c:pt idx="2">
                  <c:v>South</c:v>
                </c:pt>
                <c:pt idx="3">
                  <c:v>West</c:v>
                </c:pt>
              </c:strCache>
            </c:strRef>
          </c:cat>
          <c:val>
            <c:numRef>
              <c:f>PivotTable!$E$8:$E$12</c:f>
              <c:numCache>
                <c:formatCode>\$#,##0</c:formatCode>
                <c:ptCount val="4"/>
                <c:pt idx="0">
                  <c:v>7482083</c:v>
                </c:pt>
                <c:pt idx="1">
                  <c:v>2691385</c:v>
                </c:pt>
                <c:pt idx="2">
                  <c:v>5389407</c:v>
                </c:pt>
                <c:pt idx="3">
                  <c:v>3244884</c:v>
                </c:pt>
              </c:numCache>
            </c:numRef>
          </c:val>
          <c:extLst>
            <c:ext xmlns:c16="http://schemas.microsoft.com/office/drawing/2014/chart" uri="{C3380CC4-5D6E-409C-BE32-E72D297353CC}">
              <c16:uniqueId val="{00000000-EB04-4173-8D44-C65C7BDD4E96}"/>
            </c:ext>
          </c:extLst>
        </c:ser>
        <c:ser>
          <c:idx val="1"/>
          <c:order val="1"/>
          <c:tx>
            <c:strRef>
              <c:f>PivotTable!$F$6:$F$7</c:f>
              <c:strCache>
                <c:ptCount val="1"/>
                <c:pt idx="0">
                  <c:v>2020</c:v>
                </c:pt>
              </c:strCache>
            </c:strRef>
          </c:tx>
          <c:spPr>
            <a:solidFill>
              <a:schemeClr val="accent2"/>
            </a:solidFill>
            <a:ln>
              <a:noFill/>
            </a:ln>
            <a:effectLst/>
          </c:spPr>
          <c:invertIfNegative val="0"/>
          <c:cat>
            <c:strRef>
              <c:f>PivotTable!$D$8:$D$12</c:f>
              <c:strCache>
                <c:ptCount val="4"/>
                <c:pt idx="0">
                  <c:v>East</c:v>
                </c:pt>
                <c:pt idx="1">
                  <c:v>North</c:v>
                </c:pt>
                <c:pt idx="2">
                  <c:v>South</c:v>
                </c:pt>
                <c:pt idx="3">
                  <c:v>West</c:v>
                </c:pt>
              </c:strCache>
            </c:strRef>
          </c:cat>
          <c:val>
            <c:numRef>
              <c:f>PivotTable!$F$8:$F$12</c:f>
              <c:numCache>
                <c:formatCode>\$#,##0</c:formatCode>
                <c:ptCount val="4"/>
                <c:pt idx="0">
                  <c:v>52034190</c:v>
                </c:pt>
                <c:pt idx="1">
                  <c:v>66074746</c:v>
                </c:pt>
                <c:pt idx="2">
                  <c:v>112281122</c:v>
                </c:pt>
                <c:pt idx="3">
                  <c:v>29606196</c:v>
                </c:pt>
              </c:numCache>
            </c:numRef>
          </c:val>
          <c:extLst>
            <c:ext xmlns:c16="http://schemas.microsoft.com/office/drawing/2014/chart" uri="{C3380CC4-5D6E-409C-BE32-E72D297353CC}">
              <c16:uniqueId val="{00000000-B8C1-4D8A-A057-E0E25C2E80F6}"/>
            </c:ext>
          </c:extLst>
        </c:ser>
        <c:ser>
          <c:idx val="2"/>
          <c:order val="2"/>
          <c:tx>
            <c:strRef>
              <c:f>PivotTable!$G$6:$G$7</c:f>
              <c:strCache>
                <c:ptCount val="1"/>
                <c:pt idx="0">
                  <c:v>2021</c:v>
                </c:pt>
              </c:strCache>
            </c:strRef>
          </c:tx>
          <c:spPr>
            <a:solidFill>
              <a:schemeClr val="accent3"/>
            </a:solidFill>
            <a:ln>
              <a:noFill/>
            </a:ln>
            <a:effectLst/>
          </c:spPr>
          <c:invertIfNegative val="0"/>
          <c:cat>
            <c:strRef>
              <c:f>PivotTable!$D$8:$D$12</c:f>
              <c:strCache>
                <c:ptCount val="4"/>
                <c:pt idx="0">
                  <c:v>East</c:v>
                </c:pt>
                <c:pt idx="1">
                  <c:v>North</c:v>
                </c:pt>
                <c:pt idx="2">
                  <c:v>South</c:v>
                </c:pt>
                <c:pt idx="3">
                  <c:v>West</c:v>
                </c:pt>
              </c:strCache>
            </c:strRef>
          </c:cat>
          <c:val>
            <c:numRef>
              <c:f>PivotTable!$G$8:$G$12</c:f>
              <c:numCache>
                <c:formatCode>\$#,##0</c:formatCode>
                <c:ptCount val="4"/>
                <c:pt idx="0">
                  <c:v>53531466</c:v>
                </c:pt>
                <c:pt idx="1">
                  <c:v>77399005</c:v>
                </c:pt>
                <c:pt idx="2">
                  <c:v>54829507</c:v>
                </c:pt>
                <c:pt idx="3">
                  <c:v>41229734</c:v>
                </c:pt>
              </c:numCache>
            </c:numRef>
          </c:val>
          <c:extLst>
            <c:ext xmlns:c16="http://schemas.microsoft.com/office/drawing/2014/chart" uri="{C3380CC4-5D6E-409C-BE32-E72D297353CC}">
              <c16:uniqueId val="{00000001-B8C1-4D8A-A057-E0E25C2E80F6}"/>
            </c:ext>
          </c:extLst>
        </c:ser>
        <c:ser>
          <c:idx val="3"/>
          <c:order val="3"/>
          <c:tx>
            <c:strRef>
              <c:f>PivotTable!$H$6:$H$7</c:f>
              <c:strCache>
                <c:ptCount val="1"/>
                <c:pt idx="0">
                  <c:v>2022</c:v>
                </c:pt>
              </c:strCache>
            </c:strRef>
          </c:tx>
          <c:spPr>
            <a:solidFill>
              <a:schemeClr val="accent4"/>
            </a:solidFill>
            <a:ln>
              <a:noFill/>
            </a:ln>
            <a:effectLst/>
          </c:spPr>
          <c:invertIfNegative val="0"/>
          <c:cat>
            <c:strRef>
              <c:f>PivotTable!$D$8:$D$12</c:f>
              <c:strCache>
                <c:ptCount val="4"/>
                <c:pt idx="0">
                  <c:v>East</c:v>
                </c:pt>
                <c:pt idx="1">
                  <c:v>North</c:v>
                </c:pt>
                <c:pt idx="2">
                  <c:v>South</c:v>
                </c:pt>
                <c:pt idx="3">
                  <c:v>West</c:v>
                </c:pt>
              </c:strCache>
            </c:strRef>
          </c:cat>
          <c:val>
            <c:numRef>
              <c:f>PivotTable!$H$8:$H$12</c:f>
              <c:numCache>
                <c:formatCode>\$#,##0</c:formatCode>
                <c:ptCount val="4"/>
                <c:pt idx="0">
                  <c:v>66509232</c:v>
                </c:pt>
                <c:pt idx="1">
                  <c:v>51902272</c:v>
                </c:pt>
                <c:pt idx="2">
                  <c:v>94095323</c:v>
                </c:pt>
                <c:pt idx="3">
                  <c:v>29830429</c:v>
                </c:pt>
              </c:numCache>
            </c:numRef>
          </c:val>
          <c:extLst>
            <c:ext xmlns:c16="http://schemas.microsoft.com/office/drawing/2014/chart" uri="{C3380CC4-5D6E-409C-BE32-E72D297353CC}">
              <c16:uniqueId val="{00000002-B8C1-4D8A-A057-E0E25C2E80F6}"/>
            </c:ext>
          </c:extLst>
        </c:ser>
        <c:dLbls>
          <c:showLegendKey val="0"/>
          <c:showVal val="0"/>
          <c:showCatName val="0"/>
          <c:showSerName val="0"/>
          <c:showPercent val="0"/>
          <c:showBubbleSize val="0"/>
        </c:dLbls>
        <c:gapWidth val="219"/>
        <c:overlap val="-27"/>
        <c:axId val="38384032"/>
        <c:axId val="1873212448"/>
      </c:barChart>
      <c:catAx>
        <c:axId val="3838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12448"/>
        <c:crosses val="autoZero"/>
        <c:auto val="1"/>
        <c:lblAlgn val="ctr"/>
        <c:lblOffset val="100"/>
        <c:noMultiLvlLbl val="0"/>
      </c:catAx>
      <c:valAx>
        <c:axId val="1873212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[Sales_Revenue_Performance_Analysis.xlsx]PivotTable!Client revenue ranking</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PivotTable!$K$3</c:f>
              <c:strCache>
                <c:ptCount val="1"/>
                <c:pt idx="0">
                  <c:v>Total</c:v>
                </c:pt>
              </c:strCache>
            </c:strRef>
          </c:tx>
          <c:spPr>
            <a:solidFill>
              <a:schemeClr val="accent1"/>
            </a:solidFill>
            <a:ln>
              <a:noFill/>
            </a:ln>
            <a:effectLst/>
          </c:spPr>
          <c:invertIfNegative val="0"/>
          <c:cat>
            <c:strRef>
              <c:f>PivotTable!$J$4:$J$11</c:f>
              <c:strCache>
                <c:ptCount val="7"/>
                <c:pt idx="0">
                  <c:v>Titan Industries</c:v>
                </c:pt>
                <c:pt idx="1">
                  <c:v>Timefall Inc.</c:v>
                </c:pt>
                <c:pt idx="2">
                  <c:v>Sol Company</c:v>
                </c:pt>
                <c:pt idx="3">
                  <c:v>Eagle Security</c:v>
                </c:pt>
                <c:pt idx="4">
                  <c:v>Chiral Corporation</c:v>
                </c:pt>
                <c:pt idx="5">
                  <c:v>Bridges Company</c:v>
                </c:pt>
                <c:pt idx="6">
                  <c:v>ABC Corporation</c:v>
                </c:pt>
              </c:strCache>
            </c:strRef>
          </c:cat>
          <c:val>
            <c:numRef>
              <c:f>PivotTable!$K$4:$K$11</c:f>
              <c:numCache>
                <c:formatCode>0.00%</c:formatCode>
                <c:ptCount val="7"/>
                <c:pt idx="0">
                  <c:v>0.10579299615985292</c:v>
                </c:pt>
                <c:pt idx="1">
                  <c:v>0.12061835867214274</c:v>
                </c:pt>
                <c:pt idx="2">
                  <c:v>0.35205012984216999</c:v>
                </c:pt>
                <c:pt idx="3">
                  <c:v>0.18964277593524762</c:v>
                </c:pt>
                <c:pt idx="4">
                  <c:v>7.2186028077348127E-2</c:v>
                </c:pt>
                <c:pt idx="5">
                  <c:v>0.10506379363535541</c:v>
                </c:pt>
                <c:pt idx="6">
                  <c:v>5.4645917677883196E-2</c:v>
                </c:pt>
              </c:numCache>
            </c:numRef>
          </c:val>
          <c:extLst>
            <c:ext xmlns:c16="http://schemas.microsoft.com/office/drawing/2014/chart" uri="{C3380CC4-5D6E-409C-BE32-E72D297353CC}">
              <c16:uniqueId val="{00000000-AC13-4C46-B8AD-33D4DBCFE24D}"/>
            </c:ext>
          </c:extLst>
        </c:ser>
        <c:dLbls>
          <c:showLegendKey val="0"/>
          <c:showVal val="0"/>
          <c:showCatName val="0"/>
          <c:showSerName val="0"/>
          <c:showPercent val="0"/>
          <c:showBubbleSize val="0"/>
        </c:dLbls>
        <c:gapWidth val="219"/>
        <c:overlap val="-27"/>
        <c:axId val="88827504"/>
        <c:axId val="2100736576"/>
      </c:barChart>
      <c:catAx>
        <c:axId val="888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36576"/>
        <c:crosses val="autoZero"/>
        <c:auto val="1"/>
        <c:lblAlgn val="ctr"/>
        <c:lblOffset val="100"/>
        <c:noMultiLvlLbl val="0"/>
      </c:catAx>
      <c:valAx>
        <c:axId val="2100736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[Sales_Revenue_Performance_Analysis.xlsx]PivotTable!Client concentration by year</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PivotTable!$E$17:$E$18</c:f>
              <c:strCache>
                <c:ptCount val="1"/>
                <c:pt idx="0">
                  <c:v>2019</c:v>
                </c:pt>
              </c:strCache>
            </c:strRef>
          </c:tx>
          <c:spPr>
            <a:solidFill>
              <a:schemeClr val="accent1"/>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PivotTable!$E$19:$E$26</c:f>
              <c:numCache>
                <c:formatCode>\$#,##0</c:formatCode>
                <c:ptCount val="7"/>
                <c:pt idx="0">
                  <c:v>1741089</c:v>
                </c:pt>
                <c:pt idx="1">
                  <c:v>514989</c:v>
                </c:pt>
                <c:pt idx="2">
                  <c:v>1148912</c:v>
                </c:pt>
                <c:pt idx="3">
                  <c:v>1400990</c:v>
                </c:pt>
                <c:pt idx="4">
                  <c:v>1757908</c:v>
                </c:pt>
                <c:pt idx="5">
                  <c:v>7089247</c:v>
                </c:pt>
                <c:pt idx="6">
                  <c:v>5154624</c:v>
                </c:pt>
              </c:numCache>
            </c:numRef>
          </c:val>
          <c:extLst>
            <c:ext xmlns:c16="http://schemas.microsoft.com/office/drawing/2014/chart" uri="{C3380CC4-5D6E-409C-BE32-E72D297353CC}">
              <c16:uniqueId val="{00000000-B92D-4FEA-9795-A30ABFD5BC62}"/>
            </c:ext>
          </c:extLst>
        </c:ser>
        <c:ser>
          <c:idx val="1"/>
          <c:order val="1"/>
          <c:tx>
            <c:strRef>
              <c:f>PivotTable!$F$17:$F$18</c:f>
              <c:strCache>
                <c:ptCount val="1"/>
                <c:pt idx="0">
                  <c:v>2020</c:v>
                </c:pt>
              </c:strCache>
            </c:strRef>
          </c:tx>
          <c:spPr>
            <a:solidFill>
              <a:schemeClr val="accent2"/>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PivotTable!$F$19:$F$26</c:f>
              <c:numCache>
                <c:formatCode>\$#,##0</c:formatCode>
                <c:ptCount val="7"/>
                <c:pt idx="0">
                  <c:v>13025539</c:v>
                </c:pt>
                <c:pt idx="1">
                  <c:v>73526712</c:v>
                </c:pt>
                <c:pt idx="2">
                  <c:v>26583050</c:v>
                </c:pt>
                <c:pt idx="3">
                  <c:v>113930514</c:v>
                </c:pt>
                <c:pt idx="4">
                  <c:v>22052614</c:v>
                </c:pt>
                <c:pt idx="6">
                  <c:v>10877825</c:v>
                </c:pt>
              </c:numCache>
            </c:numRef>
          </c:val>
          <c:extLst>
            <c:ext xmlns:c16="http://schemas.microsoft.com/office/drawing/2014/chart" uri="{C3380CC4-5D6E-409C-BE32-E72D297353CC}">
              <c16:uniqueId val="{00000000-9BDB-4A6D-BEF2-B5217A20C203}"/>
            </c:ext>
          </c:extLst>
        </c:ser>
        <c:ser>
          <c:idx val="2"/>
          <c:order val="2"/>
          <c:tx>
            <c:strRef>
              <c:f>PivotTable!$G$17:$G$18</c:f>
              <c:strCache>
                <c:ptCount val="1"/>
                <c:pt idx="0">
                  <c:v>2021</c:v>
                </c:pt>
              </c:strCache>
            </c:strRef>
          </c:tx>
          <c:spPr>
            <a:solidFill>
              <a:schemeClr val="accent3"/>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PivotTable!$G$19:$G$26</c:f>
              <c:numCache>
                <c:formatCode>\$#,##0</c:formatCode>
                <c:ptCount val="7"/>
                <c:pt idx="0">
                  <c:v>26065176</c:v>
                </c:pt>
                <c:pt idx="2">
                  <c:v>26208742</c:v>
                </c:pt>
                <c:pt idx="3">
                  <c:v>26546132</c:v>
                </c:pt>
                <c:pt idx="4">
                  <c:v>123507334</c:v>
                </c:pt>
                <c:pt idx="6">
                  <c:v>24662328</c:v>
                </c:pt>
              </c:numCache>
            </c:numRef>
          </c:val>
          <c:extLst>
            <c:ext xmlns:c16="http://schemas.microsoft.com/office/drawing/2014/chart" uri="{C3380CC4-5D6E-409C-BE32-E72D297353CC}">
              <c16:uniqueId val="{00000001-9BDB-4A6D-BEF2-B5217A20C203}"/>
            </c:ext>
          </c:extLst>
        </c:ser>
        <c:ser>
          <c:idx val="3"/>
          <c:order val="3"/>
          <c:tx>
            <c:strRef>
              <c:f>PivotTable!$H$17:$H$18</c:f>
              <c:strCache>
                <c:ptCount val="1"/>
                <c:pt idx="0">
                  <c:v>2022</c:v>
                </c:pt>
              </c:strCache>
            </c:strRef>
          </c:tx>
          <c:spPr>
            <a:solidFill>
              <a:schemeClr val="accent4"/>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PivotTable!$H$19:$H$26</c:f>
              <c:numCache>
                <c:formatCode>\$#,##0</c:formatCode>
                <c:ptCount val="7"/>
                <c:pt idx="0">
                  <c:v>50500</c:v>
                </c:pt>
                <c:pt idx="1">
                  <c:v>4559778</c:v>
                </c:pt>
                <c:pt idx="2">
                  <c:v>63900</c:v>
                </c:pt>
                <c:pt idx="4">
                  <c:v>116061753</c:v>
                </c:pt>
                <c:pt idx="5">
                  <c:v>83149084</c:v>
                </c:pt>
                <c:pt idx="6">
                  <c:v>38452241</c:v>
                </c:pt>
              </c:numCache>
            </c:numRef>
          </c:val>
          <c:extLst>
            <c:ext xmlns:c16="http://schemas.microsoft.com/office/drawing/2014/chart" uri="{C3380CC4-5D6E-409C-BE32-E72D297353CC}">
              <c16:uniqueId val="{00000002-9BDB-4A6D-BEF2-B5217A20C203}"/>
            </c:ext>
          </c:extLst>
        </c:ser>
        <c:dLbls>
          <c:showLegendKey val="0"/>
          <c:showVal val="0"/>
          <c:showCatName val="0"/>
          <c:showSerName val="0"/>
          <c:showPercent val="0"/>
          <c:showBubbleSize val="0"/>
        </c:dLbls>
        <c:gapWidth val="219"/>
        <c:overlap val="-27"/>
        <c:axId val="1831168512"/>
        <c:axId val="13340800"/>
      </c:barChart>
      <c:catAx>
        <c:axId val="183116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800"/>
        <c:crosses val="autoZero"/>
        <c:auto val="1"/>
        <c:lblAlgn val="ctr"/>
        <c:lblOffset val="100"/>
        <c:noMultiLvlLbl val="0"/>
      </c:catAx>
      <c:valAx>
        <c:axId val="13340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16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[Sales_Revenue_Performance_Analysis.xlsx]PivotTable!Revenue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Quarterly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Total</c:v>
                </c:pt>
              </c:strCache>
            </c:strRef>
          </c:tx>
          <c:spPr>
            <a:ln w="28575" cap="rnd">
              <a:solidFill>
                <a:schemeClr val="accent1"/>
              </a:solidFill>
              <a:round/>
            </a:ln>
            <a:effectLst/>
          </c:spPr>
          <c:marker>
            <c:symbol val="none"/>
          </c:marker>
          <c:cat>
            <c:strRef>
              <c:f>PivotTable!$A$4:$A$18</c:f>
              <c:strCache>
                <c:ptCount val="14"/>
                <c:pt idx="0">
                  <c:v>2019-Q3</c:v>
                </c:pt>
                <c:pt idx="1">
                  <c:v>2019-Q4</c:v>
                </c:pt>
                <c:pt idx="2">
                  <c:v>2020-Q1</c:v>
                </c:pt>
                <c:pt idx="3">
                  <c:v>2020-Q2</c:v>
                </c:pt>
                <c:pt idx="4">
                  <c:v>2020-Q3</c:v>
                </c:pt>
                <c:pt idx="5">
                  <c:v>2020-Q4</c:v>
                </c:pt>
                <c:pt idx="6">
                  <c:v>2021-Q1</c:v>
                </c:pt>
                <c:pt idx="7">
                  <c:v>2021-Q2</c:v>
                </c:pt>
                <c:pt idx="8">
                  <c:v>2021-Q3</c:v>
                </c:pt>
                <c:pt idx="9">
                  <c:v>2021-Q4</c:v>
                </c:pt>
                <c:pt idx="10">
                  <c:v>2022-Q1</c:v>
                </c:pt>
                <c:pt idx="11">
                  <c:v>2022-Q2</c:v>
                </c:pt>
                <c:pt idx="12">
                  <c:v>2022-Q3</c:v>
                </c:pt>
                <c:pt idx="13">
                  <c:v>2022-Q4</c:v>
                </c:pt>
              </c:strCache>
            </c:strRef>
          </c:cat>
          <c:val>
            <c:numRef>
              <c:f>PivotTable!$B$4:$B$18</c:f>
              <c:numCache>
                <c:formatCode>\$#,##0</c:formatCode>
                <c:ptCount val="14"/>
                <c:pt idx="0">
                  <c:v>8781612</c:v>
                </c:pt>
                <c:pt idx="1">
                  <c:v>18807759</c:v>
                </c:pt>
                <c:pt idx="2">
                  <c:v>117075187</c:v>
                </c:pt>
                <c:pt idx="3">
                  <c:v>158092546</c:v>
                </c:pt>
                <c:pt idx="4">
                  <c:v>217660901</c:v>
                </c:pt>
                <c:pt idx="5">
                  <c:v>278804013</c:v>
                </c:pt>
                <c:pt idx="6">
                  <c:v>363863429</c:v>
                </c:pt>
                <c:pt idx="7">
                  <c:v>404946546</c:v>
                </c:pt>
                <c:pt idx="8">
                  <c:v>453909992</c:v>
                </c:pt>
                <c:pt idx="9">
                  <c:v>505793725</c:v>
                </c:pt>
                <c:pt idx="10">
                  <c:v>603276472</c:v>
                </c:pt>
                <c:pt idx="11">
                  <c:v>658694388</c:v>
                </c:pt>
                <c:pt idx="12">
                  <c:v>724768224</c:v>
                </c:pt>
                <c:pt idx="13">
                  <c:v>748130981</c:v>
                </c:pt>
              </c:numCache>
            </c:numRef>
          </c:val>
          <c:smooth val="0"/>
          <c:extLst>
            <c:ext xmlns:c16="http://schemas.microsoft.com/office/drawing/2014/chart" uri="{C3380CC4-5D6E-409C-BE32-E72D297353CC}">
              <c16:uniqueId val="{00000000-2470-4AA9-B528-6D388FBBBC89}"/>
            </c:ext>
          </c:extLst>
        </c:ser>
        <c:dLbls>
          <c:showLegendKey val="0"/>
          <c:showVal val="0"/>
          <c:showCatName val="0"/>
          <c:showSerName val="0"/>
          <c:showPercent val="0"/>
          <c:showBubbleSize val="0"/>
        </c:dLbls>
        <c:smooth val="0"/>
        <c:axId val="2093048144"/>
        <c:axId val="2100733696"/>
      </c:lineChart>
      <c:catAx>
        <c:axId val="209304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33696"/>
        <c:crosses val="autoZero"/>
        <c:auto val="1"/>
        <c:lblAlgn val="ctr"/>
        <c:lblOffset val="100"/>
        <c:noMultiLvlLbl val="0"/>
      </c:catAx>
      <c:valAx>
        <c:axId val="210073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04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[Sales_Revenue_Performance_Analysis.xlsx]PivotTable!Regional performance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Region (2019–2022)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PivotTable!$E$6:$E$7</c:f>
              <c:strCache>
                <c:ptCount val="1"/>
                <c:pt idx="0">
                  <c:v>2019</c:v>
                </c:pt>
              </c:strCache>
            </c:strRef>
          </c:tx>
          <c:spPr>
            <a:solidFill>
              <a:schemeClr val="accent1"/>
            </a:solidFill>
            <a:ln>
              <a:noFill/>
            </a:ln>
            <a:effectLst/>
          </c:spPr>
          <c:invertIfNegative val="0"/>
          <c:cat>
            <c:strRef>
              <c:f>PivotTable!$D$8:$D$12</c:f>
              <c:strCache>
                <c:ptCount val="4"/>
                <c:pt idx="0">
                  <c:v>East</c:v>
                </c:pt>
                <c:pt idx="1">
                  <c:v>North</c:v>
                </c:pt>
                <c:pt idx="2">
                  <c:v>South</c:v>
                </c:pt>
                <c:pt idx="3">
                  <c:v>West</c:v>
                </c:pt>
              </c:strCache>
            </c:strRef>
          </c:cat>
          <c:val>
            <c:numRef>
              <c:f>PivotTable!$E$8:$E$12</c:f>
              <c:numCache>
                <c:formatCode>\$#,##0</c:formatCode>
                <c:ptCount val="4"/>
                <c:pt idx="0">
                  <c:v>7482083</c:v>
                </c:pt>
                <c:pt idx="1">
                  <c:v>2691385</c:v>
                </c:pt>
                <c:pt idx="2">
                  <c:v>5389407</c:v>
                </c:pt>
                <c:pt idx="3">
                  <c:v>3244884</c:v>
                </c:pt>
              </c:numCache>
            </c:numRef>
          </c:val>
          <c:extLst>
            <c:ext xmlns:c16="http://schemas.microsoft.com/office/drawing/2014/chart" uri="{C3380CC4-5D6E-409C-BE32-E72D297353CC}">
              <c16:uniqueId val="{00000000-6EF1-4302-B776-2A9A941A024D}"/>
            </c:ext>
          </c:extLst>
        </c:ser>
        <c:ser>
          <c:idx val="1"/>
          <c:order val="1"/>
          <c:tx>
            <c:strRef>
              <c:f>PivotTable!$F$6:$F$7</c:f>
              <c:strCache>
                <c:ptCount val="1"/>
                <c:pt idx="0">
                  <c:v>2020</c:v>
                </c:pt>
              </c:strCache>
            </c:strRef>
          </c:tx>
          <c:spPr>
            <a:solidFill>
              <a:schemeClr val="accent2"/>
            </a:solidFill>
            <a:ln>
              <a:noFill/>
            </a:ln>
            <a:effectLst/>
          </c:spPr>
          <c:invertIfNegative val="0"/>
          <c:cat>
            <c:strRef>
              <c:f>PivotTable!$D$8:$D$12</c:f>
              <c:strCache>
                <c:ptCount val="4"/>
                <c:pt idx="0">
                  <c:v>East</c:v>
                </c:pt>
                <c:pt idx="1">
                  <c:v>North</c:v>
                </c:pt>
                <c:pt idx="2">
                  <c:v>South</c:v>
                </c:pt>
                <c:pt idx="3">
                  <c:v>West</c:v>
                </c:pt>
              </c:strCache>
            </c:strRef>
          </c:cat>
          <c:val>
            <c:numRef>
              <c:f>PivotTable!$F$8:$F$12</c:f>
              <c:numCache>
                <c:formatCode>\$#,##0</c:formatCode>
                <c:ptCount val="4"/>
                <c:pt idx="0">
                  <c:v>52034190</c:v>
                </c:pt>
                <c:pt idx="1">
                  <c:v>66074746</c:v>
                </c:pt>
                <c:pt idx="2">
                  <c:v>112281122</c:v>
                </c:pt>
                <c:pt idx="3">
                  <c:v>29606196</c:v>
                </c:pt>
              </c:numCache>
            </c:numRef>
          </c:val>
          <c:extLst>
            <c:ext xmlns:c16="http://schemas.microsoft.com/office/drawing/2014/chart" uri="{C3380CC4-5D6E-409C-BE32-E72D297353CC}">
              <c16:uniqueId val="{00000001-4D29-4944-9428-1148FAC4F3D9}"/>
            </c:ext>
          </c:extLst>
        </c:ser>
        <c:ser>
          <c:idx val="2"/>
          <c:order val="2"/>
          <c:tx>
            <c:strRef>
              <c:f>PivotTable!$G$6:$G$7</c:f>
              <c:strCache>
                <c:ptCount val="1"/>
                <c:pt idx="0">
                  <c:v>2021</c:v>
                </c:pt>
              </c:strCache>
            </c:strRef>
          </c:tx>
          <c:spPr>
            <a:solidFill>
              <a:schemeClr val="accent3"/>
            </a:solidFill>
            <a:ln>
              <a:noFill/>
            </a:ln>
            <a:effectLst/>
          </c:spPr>
          <c:invertIfNegative val="0"/>
          <c:cat>
            <c:strRef>
              <c:f>PivotTable!$D$8:$D$12</c:f>
              <c:strCache>
                <c:ptCount val="4"/>
                <c:pt idx="0">
                  <c:v>East</c:v>
                </c:pt>
                <c:pt idx="1">
                  <c:v>North</c:v>
                </c:pt>
                <c:pt idx="2">
                  <c:v>South</c:v>
                </c:pt>
                <c:pt idx="3">
                  <c:v>West</c:v>
                </c:pt>
              </c:strCache>
            </c:strRef>
          </c:cat>
          <c:val>
            <c:numRef>
              <c:f>PivotTable!$G$8:$G$12</c:f>
              <c:numCache>
                <c:formatCode>\$#,##0</c:formatCode>
                <c:ptCount val="4"/>
                <c:pt idx="0">
                  <c:v>53531466</c:v>
                </c:pt>
                <c:pt idx="1">
                  <c:v>77399005</c:v>
                </c:pt>
                <c:pt idx="2">
                  <c:v>54829507</c:v>
                </c:pt>
                <c:pt idx="3">
                  <c:v>41229734</c:v>
                </c:pt>
              </c:numCache>
            </c:numRef>
          </c:val>
          <c:extLst>
            <c:ext xmlns:c16="http://schemas.microsoft.com/office/drawing/2014/chart" uri="{C3380CC4-5D6E-409C-BE32-E72D297353CC}">
              <c16:uniqueId val="{00000002-4D29-4944-9428-1148FAC4F3D9}"/>
            </c:ext>
          </c:extLst>
        </c:ser>
        <c:ser>
          <c:idx val="3"/>
          <c:order val="3"/>
          <c:tx>
            <c:strRef>
              <c:f>PivotTable!$H$6:$H$7</c:f>
              <c:strCache>
                <c:ptCount val="1"/>
                <c:pt idx="0">
                  <c:v>2022</c:v>
                </c:pt>
              </c:strCache>
            </c:strRef>
          </c:tx>
          <c:spPr>
            <a:solidFill>
              <a:schemeClr val="accent4"/>
            </a:solidFill>
            <a:ln>
              <a:noFill/>
            </a:ln>
            <a:effectLst/>
          </c:spPr>
          <c:invertIfNegative val="0"/>
          <c:cat>
            <c:strRef>
              <c:f>PivotTable!$D$8:$D$12</c:f>
              <c:strCache>
                <c:ptCount val="4"/>
                <c:pt idx="0">
                  <c:v>East</c:v>
                </c:pt>
                <c:pt idx="1">
                  <c:v>North</c:v>
                </c:pt>
                <c:pt idx="2">
                  <c:v>South</c:v>
                </c:pt>
                <c:pt idx="3">
                  <c:v>West</c:v>
                </c:pt>
              </c:strCache>
            </c:strRef>
          </c:cat>
          <c:val>
            <c:numRef>
              <c:f>PivotTable!$H$8:$H$12</c:f>
              <c:numCache>
                <c:formatCode>\$#,##0</c:formatCode>
                <c:ptCount val="4"/>
                <c:pt idx="0">
                  <c:v>66509232</c:v>
                </c:pt>
                <c:pt idx="1">
                  <c:v>51902272</c:v>
                </c:pt>
                <c:pt idx="2">
                  <c:v>94095323</c:v>
                </c:pt>
                <c:pt idx="3">
                  <c:v>29830429</c:v>
                </c:pt>
              </c:numCache>
            </c:numRef>
          </c:val>
          <c:extLst>
            <c:ext xmlns:c16="http://schemas.microsoft.com/office/drawing/2014/chart" uri="{C3380CC4-5D6E-409C-BE32-E72D297353CC}">
              <c16:uniqueId val="{00000003-4D29-4944-9428-1148FAC4F3D9}"/>
            </c:ext>
          </c:extLst>
        </c:ser>
        <c:dLbls>
          <c:showLegendKey val="0"/>
          <c:showVal val="0"/>
          <c:showCatName val="0"/>
          <c:showSerName val="0"/>
          <c:showPercent val="0"/>
          <c:showBubbleSize val="0"/>
        </c:dLbls>
        <c:gapWidth val="219"/>
        <c:overlap val="-27"/>
        <c:axId val="38384032"/>
        <c:axId val="1873212448"/>
      </c:barChart>
      <c:catAx>
        <c:axId val="3838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12448"/>
        <c:crosses val="autoZero"/>
        <c:auto val="1"/>
        <c:lblAlgn val="ctr"/>
        <c:lblOffset val="100"/>
        <c:noMultiLvlLbl val="0"/>
      </c:catAx>
      <c:valAx>
        <c:axId val="1873212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[Sales_Revenue_Performance_Analysis.xlsx]PivotTable!Client revenue ranking</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Client Share of Total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PivotTable!$K$3</c:f>
              <c:strCache>
                <c:ptCount val="1"/>
                <c:pt idx="0">
                  <c:v>Total</c:v>
                </c:pt>
              </c:strCache>
            </c:strRef>
          </c:tx>
          <c:spPr>
            <a:solidFill>
              <a:schemeClr val="accent1"/>
            </a:solidFill>
            <a:ln>
              <a:noFill/>
            </a:ln>
            <a:effectLst/>
          </c:spPr>
          <c:invertIfNegative val="0"/>
          <c:cat>
            <c:strRef>
              <c:f>PivotTable!$J$4:$J$11</c:f>
              <c:strCache>
                <c:ptCount val="7"/>
                <c:pt idx="0">
                  <c:v>Titan Industries</c:v>
                </c:pt>
                <c:pt idx="1">
                  <c:v>Timefall Inc.</c:v>
                </c:pt>
                <c:pt idx="2">
                  <c:v>Sol Company</c:v>
                </c:pt>
                <c:pt idx="3">
                  <c:v>Eagle Security</c:v>
                </c:pt>
                <c:pt idx="4">
                  <c:v>Chiral Corporation</c:v>
                </c:pt>
                <c:pt idx="5">
                  <c:v>Bridges Company</c:v>
                </c:pt>
                <c:pt idx="6">
                  <c:v>ABC Corporation</c:v>
                </c:pt>
              </c:strCache>
            </c:strRef>
          </c:cat>
          <c:val>
            <c:numRef>
              <c:f>PivotTable!$K$4:$K$11</c:f>
              <c:numCache>
                <c:formatCode>0.00%</c:formatCode>
                <c:ptCount val="7"/>
                <c:pt idx="0">
                  <c:v>0.10579299615985292</c:v>
                </c:pt>
                <c:pt idx="1">
                  <c:v>0.12061835867214274</c:v>
                </c:pt>
                <c:pt idx="2">
                  <c:v>0.35205012984216999</c:v>
                </c:pt>
                <c:pt idx="3">
                  <c:v>0.18964277593524762</c:v>
                </c:pt>
                <c:pt idx="4">
                  <c:v>7.2186028077348127E-2</c:v>
                </c:pt>
                <c:pt idx="5">
                  <c:v>0.10506379363535541</c:v>
                </c:pt>
                <c:pt idx="6">
                  <c:v>5.4645917677883196E-2</c:v>
                </c:pt>
              </c:numCache>
            </c:numRef>
          </c:val>
          <c:extLst>
            <c:ext xmlns:c16="http://schemas.microsoft.com/office/drawing/2014/chart" uri="{C3380CC4-5D6E-409C-BE32-E72D297353CC}">
              <c16:uniqueId val="{00000000-A346-4744-9F10-182700F9D86B}"/>
            </c:ext>
          </c:extLst>
        </c:ser>
        <c:dLbls>
          <c:showLegendKey val="0"/>
          <c:showVal val="0"/>
          <c:showCatName val="0"/>
          <c:showSerName val="0"/>
          <c:showPercent val="0"/>
          <c:showBubbleSize val="0"/>
        </c:dLbls>
        <c:gapWidth val="219"/>
        <c:overlap val="-27"/>
        <c:axId val="88827504"/>
        <c:axId val="2100736576"/>
      </c:barChart>
      <c:catAx>
        <c:axId val="888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36576"/>
        <c:crosses val="autoZero"/>
        <c:auto val="1"/>
        <c:lblAlgn val="ctr"/>
        <c:lblOffset val="100"/>
        <c:noMultiLvlLbl val="0"/>
      </c:catAx>
      <c:valAx>
        <c:axId val="2100736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[Sales_Revenue_Performance_Analysis.xlsx]PivotTable!Client concentration by year</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Client Revenue Mix by Year — Concentration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PivotTable!$E$17:$E$18</c:f>
              <c:strCache>
                <c:ptCount val="1"/>
                <c:pt idx="0">
                  <c:v>2019</c:v>
                </c:pt>
              </c:strCache>
            </c:strRef>
          </c:tx>
          <c:spPr>
            <a:solidFill>
              <a:schemeClr val="accent1"/>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PivotTable!$E$19:$E$26</c:f>
              <c:numCache>
                <c:formatCode>\$#,##0</c:formatCode>
                <c:ptCount val="7"/>
                <c:pt idx="0">
                  <c:v>1741089</c:v>
                </c:pt>
                <c:pt idx="1">
                  <c:v>514989</c:v>
                </c:pt>
                <c:pt idx="2">
                  <c:v>1148912</c:v>
                </c:pt>
                <c:pt idx="3">
                  <c:v>1400990</c:v>
                </c:pt>
                <c:pt idx="4">
                  <c:v>1757908</c:v>
                </c:pt>
                <c:pt idx="5">
                  <c:v>7089247</c:v>
                </c:pt>
                <c:pt idx="6">
                  <c:v>5154624</c:v>
                </c:pt>
              </c:numCache>
            </c:numRef>
          </c:val>
          <c:extLst>
            <c:ext xmlns:c16="http://schemas.microsoft.com/office/drawing/2014/chart" uri="{C3380CC4-5D6E-409C-BE32-E72D297353CC}">
              <c16:uniqueId val="{00000000-4E96-4AC7-80D7-AC8F11536E59}"/>
            </c:ext>
          </c:extLst>
        </c:ser>
        <c:ser>
          <c:idx val="1"/>
          <c:order val="1"/>
          <c:tx>
            <c:strRef>
              <c:f>PivotTable!$F$17:$F$18</c:f>
              <c:strCache>
                <c:ptCount val="1"/>
                <c:pt idx="0">
                  <c:v>2020</c:v>
                </c:pt>
              </c:strCache>
            </c:strRef>
          </c:tx>
          <c:spPr>
            <a:solidFill>
              <a:schemeClr val="accent2"/>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PivotTable!$F$19:$F$26</c:f>
              <c:numCache>
                <c:formatCode>\$#,##0</c:formatCode>
                <c:ptCount val="7"/>
                <c:pt idx="0">
                  <c:v>13025539</c:v>
                </c:pt>
                <c:pt idx="1">
                  <c:v>73526712</c:v>
                </c:pt>
                <c:pt idx="2">
                  <c:v>26583050</c:v>
                </c:pt>
                <c:pt idx="3">
                  <c:v>113930514</c:v>
                </c:pt>
                <c:pt idx="4">
                  <c:v>22052614</c:v>
                </c:pt>
                <c:pt idx="6">
                  <c:v>10877825</c:v>
                </c:pt>
              </c:numCache>
            </c:numRef>
          </c:val>
          <c:extLst>
            <c:ext xmlns:c16="http://schemas.microsoft.com/office/drawing/2014/chart" uri="{C3380CC4-5D6E-409C-BE32-E72D297353CC}">
              <c16:uniqueId val="{00000000-5540-4E97-9E27-6D41D5D9E3CF}"/>
            </c:ext>
          </c:extLst>
        </c:ser>
        <c:ser>
          <c:idx val="2"/>
          <c:order val="2"/>
          <c:tx>
            <c:strRef>
              <c:f>PivotTable!$G$17:$G$18</c:f>
              <c:strCache>
                <c:ptCount val="1"/>
                <c:pt idx="0">
                  <c:v>2021</c:v>
                </c:pt>
              </c:strCache>
            </c:strRef>
          </c:tx>
          <c:spPr>
            <a:solidFill>
              <a:schemeClr val="accent3"/>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PivotTable!$G$19:$G$26</c:f>
              <c:numCache>
                <c:formatCode>\$#,##0</c:formatCode>
                <c:ptCount val="7"/>
                <c:pt idx="0">
                  <c:v>26065176</c:v>
                </c:pt>
                <c:pt idx="2">
                  <c:v>26208742</c:v>
                </c:pt>
                <c:pt idx="3">
                  <c:v>26546132</c:v>
                </c:pt>
                <c:pt idx="4">
                  <c:v>123507334</c:v>
                </c:pt>
                <c:pt idx="6">
                  <c:v>24662328</c:v>
                </c:pt>
              </c:numCache>
            </c:numRef>
          </c:val>
          <c:extLst>
            <c:ext xmlns:c16="http://schemas.microsoft.com/office/drawing/2014/chart" uri="{C3380CC4-5D6E-409C-BE32-E72D297353CC}">
              <c16:uniqueId val="{00000001-5540-4E97-9E27-6D41D5D9E3CF}"/>
            </c:ext>
          </c:extLst>
        </c:ser>
        <c:ser>
          <c:idx val="3"/>
          <c:order val="3"/>
          <c:tx>
            <c:strRef>
              <c:f>PivotTable!$H$17:$H$18</c:f>
              <c:strCache>
                <c:ptCount val="1"/>
                <c:pt idx="0">
                  <c:v>2022</c:v>
                </c:pt>
              </c:strCache>
            </c:strRef>
          </c:tx>
          <c:spPr>
            <a:solidFill>
              <a:schemeClr val="accent4"/>
            </a:solidFill>
            <a:ln>
              <a:noFill/>
            </a:ln>
            <a:effectLst/>
          </c:spPr>
          <c:invertIfNegative val="0"/>
          <c:cat>
            <c:strRef>
              <c:f>PivotTable!$D$19:$D$26</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PivotTable!$H$19:$H$26</c:f>
              <c:numCache>
                <c:formatCode>\$#,##0</c:formatCode>
                <c:ptCount val="7"/>
                <c:pt idx="0">
                  <c:v>50500</c:v>
                </c:pt>
                <c:pt idx="1">
                  <c:v>4559778</c:v>
                </c:pt>
                <c:pt idx="2">
                  <c:v>63900</c:v>
                </c:pt>
                <c:pt idx="4">
                  <c:v>116061753</c:v>
                </c:pt>
                <c:pt idx="5">
                  <c:v>83149084</c:v>
                </c:pt>
                <c:pt idx="6">
                  <c:v>38452241</c:v>
                </c:pt>
              </c:numCache>
            </c:numRef>
          </c:val>
          <c:extLst>
            <c:ext xmlns:c16="http://schemas.microsoft.com/office/drawing/2014/chart" uri="{C3380CC4-5D6E-409C-BE32-E72D297353CC}">
              <c16:uniqueId val="{00000002-5540-4E97-9E27-6D41D5D9E3CF}"/>
            </c:ext>
          </c:extLst>
        </c:ser>
        <c:dLbls>
          <c:showLegendKey val="0"/>
          <c:showVal val="0"/>
          <c:showCatName val="0"/>
          <c:showSerName val="0"/>
          <c:showPercent val="0"/>
          <c:showBubbleSize val="0"/>
        </c:dLbls>
        <c:gapWidth val="219"/>
        <c:overlap val="-27"/>
        <c:axId val="1831168512"/>
        <c:axId val="13340800"/>
      </c:barChart>
      <c:catAx>
        <c:axId val="183116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800"/>
        <c:crosses val="autoZero"/>
        <c:auto val="1"/>
        <c:lblAlgn val="ctr"/>
        <c:lblOffset val="100"/>
        <c:noMultiLvlLbl val="0"/>
      </c:catAx>
      <c:valAx>
        <c:axId val="13340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16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31750</xdr:colOff>
      <xdr:row>1</xdr:row>
      <xdr:rowOff>25400</xdr:rowOff>
    </xdr:from>
    <xdr:to>
      <xdr:col>7</xdr:col>
      <xdr:colOff>310174</xdr:colOff>
      <xdr:row>16</xdr:row>
      <xdr:rowOff>27252</xdr:rowOff>
    </xdr:to>
    <xdr:graphicFrame macro="">
      <xdr:nvGraphicFramePr>
        <xdr:cNvPr id="2" name="Chart 1">
          <a:extLst>
            <a:ext uri="{FF2B5EF4-FFF2-40B4-BE49-F238E27FC236}">
              <a16:creationId xmlns:a16="http://schemas.microsoft.com/office/drawing/2014/main" id="{406E1CD7-8D2F-4576-948C-60A7C68A8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425450</xdr:colOff>
      <xdr:row>0</xdr:row>
      <xdr:rowOff>165100</xdr:rowOff>
    </xdr:from>
    <xdr:to>
      <xdr:col>15</xdr:col>
      <xdr:colOff>120650</xdr:colOff>
      <xdr:row>15</xdr:row>
      <xdr:rowOff>146050</xdr:rowOff>
    </xdr:to>
    <xdr:graphicFrame macro="">
      <xdr:nvGraphicFramePr>
        <xdr:cNvPr id="3" name="Chart 2">
          <a:extLst>
            <a:ext uri="{FF2B5EF4-FFF2-40B4-BE49-F238E27FC236}">
              <a16:creationId xmlns:a16="http://schemas.microsoft.com/office/drawing/2014/main" id="{38F83057-B332-492C-8003-3414717D2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38100</xdr:rowOff>
    </xdr:from>
    <xdr:to>
      <xdr:col>7</xdr:col>
      <xdr:colOff>304800</xdr:colOff>
      <xdr:row>32</xdr:row>
      <xdr:rowOff>19050</xdr:rowOff>
    </xdr:to>
    <xdr:graphicFrame macro="">
      <xdr:nvGraphicFramePr>
        <xdr:cNvPr id="4" name="Chart 3">
          <a:extLst>
            <a:ext uri="{FF2B5EF4-FFF2-40B4-BE49-F238E27FC236}">
              <a16:creationId xmlns:a16="http://schemas.microsoft.com/office/drawing/2014/main" id="{E0FF2ECA-F7D8-4A3B-8E8A-886B0106B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400050</xdr:colOff>
      <xdr:row>17</xdr:row>
      <xdr:rowOff>6350</xdr:rowOff>
    </xdr:from>
    <xdr:to>
      <xdr:col>15</xdr:col>
      <xdr:colOff>95250</xdr:colOff>
      <xdr:row>31</xdr:row>
      <xdr:rowOff>171450</xdr:rowOff>
    </xdr:to>
    <xdr:graphicFrame macro="">
      <xdr:nvGraphicFramePr>
        <xdr:cNvPr id="5" name="Chart 4">
          <a:extLst>
            <a:ext uri="{FF2B5EF4-FFF2-40B4-BE49-F238E27FC236}">
              <a16:creationId xmlns:a16="http://schemas.microsoft.com/office/drawing/2014/main" id="{A4865960-FDD6-4FDB-8E45-26DDD6BCD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501650</xdr:colOff>
      <xdr:row>5</xdr:row>
      <xdr:rowOff>171450</xdr:rowOff>
    </xdr:from>
    <xdr:to>
      <xdr:col>22</xdr:col>
      <xdr:colOff>501650</xdr:colOff>
      <xdr:row>19</xdr:row>
      <xdr:rowOff>28575</xdr:rowOff>
    </xdr:to>
    <mc:AlternateContent xmlns:mc="http://schemas.openxmlformats.org/markup-compatibility/2006" xmlns:a14="http://schemas.microsoft.com/office/drawing/2010/main">
      <mc:Choice Requires="a14">
        <xdr:graphicFrame macro="">
          <xdr:nvGraphicFramePr>
            <xdr:cNvPr id="6" name="Client">
              <a:extLst>
                <a:ext uri="{FF2B5EF4-FFF2-40B4-BE49-F238E27FC236}">
                  <a16:creationId xmlns:a16="http://schemas.microsoft.com/office/drawing/2014/main" id="{5EFB52B4-1D0D-DB48-1C63-00FC7DD62BB1}"/>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12102612" y="1107668"/>
              <a:ext cx="1831730" cy="2478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431800</xdr:colOff>
      <xdr:row>4</xdr:row>
      <xdr:rowOff>114300</xdr:rowOff>
    </xdr:from>
    <xdr:to>
      <xdr:col>19</xdr:col>
      <xdr:colOff>431800</xdr:colOff>
      <xdr:row>17</xdr:row>
      <xdr:rowOff>161925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865E891-8C27-699C-9E93-AAB9E05BB0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01031" y="863274"/>
              <a:ext cx="1831731" cy="2481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590550</xdr:colOff>
      <xdr:row>19</xdr:row>
      <xdr:rowOff>31750</xdr:rowOff>
    </xdr:from>
    <xdr:to>
      <xdr:col>19</xdr:col>
      <xdr:colOff>590550</xdr:colOff>
      <xdr:row>32</xdr:row>
      <xdr:rowOff>79375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BE2743B8-95DA-D186-09EE-F9D57B58A6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59781" y="3589378"/>
              <a:ext cx="1831731" cy="2481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546100</xdr:colOff>
      <xdr:row>5</xdr:row>
      <xdr:rowOff>6346</xdr:rowOff>
    </xdr:from>
    <xdr:to>
      <xdr:col>5</xdr:col>
      <xdr:colOff>158750</xdr:colOff>
      <xdr:row>8</xdr:row>
      <xdr:rowOff>176209</xdr:rowOff>
    </xdr:to>
    <xdr:sp macro="" textlink="PivotTable!K15">
      <xdr:nvSpPr>
        <xdr:cNvPr id="3" name="Rectangle: Rounded Corners 2">
          <a:extLst>
            <a:ext uri="{FF2B5EF4-FFF2-40B4-BE49-F238E27FC236}">
              <a16:creationId xmlns:a16="http://schemas.microsoft.com/office/drawing/2014/main" id="{28FA5BC1-C9B1-C964-CA3B-02350C4F0463}"/>
            </a:ext>
          </a:extLst>
        </xdr:cNvPr>
        <xdr:cNvSpPr/>
      </xdr:nvSpPr>
      <xdr:spPr>
        <a:xfrm>
          <a:off x="1768475" y="919159"/>
          <a:ext cx="1446213"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8BFA4B-F8F5-42F0-B151-5969AA26E4B3}" type="TxLink">
            <a:rPr lang="en-US" sz="2000" b="1" i="0" u="none" strike="noStrike">
              <a:solidFill>
                <a:schemeClr val="bg1"/>
              </a:solidFill>
              <a:latin typeface="Calibri"/>
              <a:cs typeface="Calibri"/>
            </a:rPr>
            <a:pPr algn="ctr"/>
            <a:t>7</a:t>
          </a:fld>
          <a:endParaRPr lang="en-US" sz="3600" b="1">
            <a:solidFill>
              <a:schemeClr val="bg1"/>
            </a:solidFill>
          </a:endParaRPr>
        </a:p>
      </xdr:txBody>
    </xdr:sp>
    <xdr:clientData/>
  </xdr:twoCellAnchor>
  <xdr:twoCellAnchor>
    <xdr:from>
      <xdr:col>5</xdr:col>
      <xdr:colOff>254000</xdr:colOff>
      <xdr:row>4</xdr:row>
      <xdr:rowOff>182559</xdr:rowOff>
    </xdr:from>
    <xdr:to>
      <xdr:col>7</xdr:col>
      <xdr:colOff>476250</xdr:colOff>
      <xdr:row>8</xdr:row>
      <xdr:rowOff>169859</xdr:rowOff>
    </xdr:to>
    <xdr:sp macro="" textlink="PivotTable!H32">
      <xdr:nvSpPr>
        <xdr:cNvPr id="4" name="Rectangle: Rounded Corners 3">
          <a:extLst>
            <a:ext uri="{FF2B5EF4-FFF2-40B4-BE49-F238E27FC236}">
              <a16:creationId xmlns:a16="http://schemas.microsoft.com/office/drawing/2014/main" id="{D33A385E-913E-B816-14D1-800C2D696257}"/>
            </a:ext>
          </a:extLst>
        </xdr:cNvPr>
        <xdr:cNvSpPr/>
      </xdr:nvSpPr>
      <xdr:spPr>
        <a:xfrm>
          <a:off x="3309938" y="912809"/>
          <a:ext cx="1444625"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0C6F4D-DDB0-4E66-B6F5-308C8BE6614D}" type="TxLink">
            <a:rPr lang="en-US" sz="1800" b="1" i="0" u="none" strike="noStrike">
              <a:solidFill>
                <a:schemeClr val="bg1"/>
              </a:solidFill>
              <a:latin typeface="Calibri"/>
              <a:cs typeface="Calibri"/>
            </a:rPr>
            <a:pPr algn="ctr"/>
            <a:t>0.98</a:t>
          </a:fld>
          <a:endParaRPr lang="en-US" sz="1800" b="1">
            <a:solidFill>
              <a:schemeClr val="bg1"/>
            </a:solidFill>
          </a:endParaRPr>
        </a:p>
      </xdr:txBody>
    </xdr:sp>
    <xdr:clientData/>
  </xdr:twoCellAnchor>
  <xdr:twoCellAnchor>
    <xdr:from>
      <xdr:col>7</xdr:col>
      <xdr:colOff>584200</xdr:colOff>
      <xdr:row>5</xdr:row>
      <xdr:rowOff>25396</xdr:rowOff>
    </xdr:from>
    <xdr:to>
      <xdr:col>10</xdr:col>
      <xdr:colOff>196850</xdr:colOff>
      <xdr:row>9</xdr:row>
      <xdr:rowOff>12696</xdr:rowOff>
    </xdr:to>
    <xdr:sp macro="" textlink="PivotTable!L15">
      <xdr:nvSpPr>
        <xdr:cNvPr id="5" name="Rectangle: Rounded Corners 4">
          <a:extLst>
            <a:ext uri="{FF2B5EF4-FFF2-40B4-BE49-F238E27FC236}">
              <a16:creationId xmlns:a16="http://schemas.microsoft.com/office/drawing/2014/main" id="{2A85FF5A-8600-608C-B286-A40820AF56F7}"/>
            </a:ext>
          </a:extLst>
        </xdr:cNvPr>
        <xdr:cNvSpPr/>
      </xdr:nvSpPr>
      <xdr:spPr>
        <a:xfrm>
          <a:off x="4862513" y="938209"/>
          <a:ext cx="1446212"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9197C7-95A2-4EEE-B5D1-24A7655B7684}" type="TxLink">
            <a:rPr lang="en-US" sz="1800" b="1" i="0" u="none" strike="noStrike">
              <a:solidFill>
                <a:schemeClr val="bg1"/>
              </a:solidFill>
              <a:latin typeface="Arial"/>
              <a:cs typeface="Arial"/>
            </a:rPr>
            <a:pPr algn="ctr"/>
            <a:t>-6.8%</a:t>
          </a:fld>
          <a:endParaRPr lang="en-US" sz="3600" b="1">
            <a:solidFill>
              <a:schemeClr val="bg1"/>
            </a:solidFill>
          </a:endParaRPr>
        </a:p>
      </xdr:txBody>
    </xdr:sp>
    <xdr:clientData/>
  </xdr:twoCellAnchor>
  <xdr:twoCellAnchor>
    <xdr:from>
      <xdr:col>0</xdr:col>
      <xdr:colOff>69850</xdr:colOff>
      <xdr:row>0</xdr:row>
      <xdr:rowOff>57150</xdr:rowOff>
    </xdr:from>
    <xdr:to>
      <xdr:col>11</xdr:col>
      <xdr:colOff>69850</xdr:colOff>
      <xdr:row>4</xdr:row>
      <xdr:rowOff>82550</xdr:rowOff>
    </xdr:to>
    <xdr:sp macro="" textlink="">
      <xdr:nvSpPr>
        <xdr:cNvPr id="6" name="Rectangle: Rounded Corners 5">
          <a:extLst>
            <a:ext uri="{FF2B5EF4-FFF2-40B4-BE49-F238E27FC236}">
              <a16:creationId xmlns:a16="http://schemas.microsoft.com/office/drawing/2014/main" id="{18F70CEA-E5AC-088D-120E-2A56C81B03A2}"/>
            </a:ext>
          </a:extLst>
        </xdr:cNvPr>
        <xdr:cNvSpPr/>
      </xdr:nvSpPr>
      <xdr:spPr>
        <a:xfrm>
          <a:off x="69850" y="57150"/>
          <a:ext cx="67056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Sales Revenue Performance &amp; Client Concentration Analysis</a:t>
          </a:r>
        </a:p>
      </xdr:txBody>
    </xdr:sp>
    <xdr:clientData/>
  </xdr:twoCellAnchor>
  <xdr:twoCellAnchor>
    <xdr:from>
      <xdr:col>0</xdr:col>
      <xdr:colOff>0</xdr:colOff>
      <xdr:row>9</xdr:row>
      <xdr:rowOff>161920</xdr:rowOff>
    </xdr:from>
    <xdr:to>
      <xdr:col>7</xdr:col>
      <xdr:colOff>285262</xdr:colOff>
      <xdr:row>25</xdr:row>
      <xdr:rowOff>26025</xdr:rowOff>
    </xdr:to>
    <xdr:graphicFrame macro="">
      <xdr:nvGraphicFramePr>
        <xdr:cNvPr id="7" name="Chart 6">
          <a:extLst>
            <a:ext uri="{FF2B5EF4-FFF2-40B4-BE49-F238E27FC236}">
              <a16:creationId xmlns:a16="http://schemas.microsoft.com/office/drawing/2014/main" id="{4856A53B-3797-46F8-BD8A-B89B2CD28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392108</xdr:colOff>
      <xdr:row>9</xdr:row>
      <xdr:rowOff>146047</xdr:rowOff>
    </xdr:from>
    <xdr:to>
      <xdr:col>15</xdr:col>
      <xdr:colOff>95124</xdr:colOff>
      <xdr:row>24</xdr:row>
      <xdr:rowOff>173402</xdr:rowOff>
    </xdr:to>
    <xdr:graphicFrame macro="">
      <xdr:nvGraphicFramePr>
        <xdr:cNvPr id="8" name="Chart 7">
          <a:extLst>
            <a:ext uri="{FF2B5EF4-FFF2-40B4-BE49-F238E27FC236}">
              <a16:creationId xmlns:a16="http://schemas.microsoft.com/office/drawing/2014/main" id="{18B79C3A-9C25-412C-BEF4-443FF9851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177209</xdr:rowOff>
    </xdr:from>
    <xdr:to>
      <xdr:col>7</xdr:col>
      <xdr:colOff>288896</xdr:colOff>
      <xdr:row>42</xdr:row>
      <xdr:rowOff>13325</xdr:rowOff>
    </xdr:to>
    <xdr:graphicFrame macro="">
      <xdr:nvGraphicFramePr>
        <xdr:cNvPr id="9" name="Chart 8">
          <a:extLst>
            <a:ext uri="{FF2B5EF4-FFF2-40B4-BE49-F238E27FC236}">
              <a16:creationId xmlns:a16="http://schemas.microsoft.com/office/drawing/2014/main" id="{530D7BB6-FA3F-42BD-8722-FA0DA3D4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420872</xdr:colOff>
      <xdr:row>26</xdr:row>
      <xdr:rowOff>177209</xdr:rowOff>
    </xdr:from>
    <xdr:to>
      <xdr:col>15</xdr:col>
      <xdr:colOff>97897</xdr:colOff>
      <xdr:row>42</xdr:row>
      <xdr:rowOff>10231</xdr:rowOff>
    </xdr:to>
    <xdr:graphicFrame macro="">
      <xdr:nvGraphicFramePr>
        <xdr:cNvPr id="10" name="Chart 9">
          <a:extLst>
            <a:ext uri="{FF2B5EF4-FFF2-40B4-BE49-F238E27FC236}">
              <a16:creationId xmlns:a16="http://schemas.microsoft.com/office/drawing/2014/main" id="{241E0183-8CD6-4863-97C1-5750D17E0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214128</xdr:colOff>
      <xdr:row>0</xdr:row>
      <xdr:rowOff>132907</xdr:rowOff>
    </xdr:from>
    <xdr:to>
      <xdr:col>14</xdr:col>
      <xdr:colOff>207312</xdr:colOff>
      <xdr:row>8</xdr:row>
      <xdr:rowOff>177210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CF0322F5-26D6-47C2-B51C-E1DAB662A1D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37191" y="132907"/>
              <a:ext cx="1826746" cy="1504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339651</xdr:colOff>
      <xdr:row>0</xdr:row>
      <xdr:rowOff>125523</xdr:rowOff>
    </xdr:from>
    <xdr:to>
      <xdr:col>17</xdr:col>
      <xdr:colOff>332836</xdr:colOff>
      <xdr:row>8</xdr:row>
      <xdr:rowOff>169826</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A25FD6C6-01BF-4903-92F9-281C2C4174B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96276" y="125523"/>
              <a:ext cx="1826748" cy="1504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191977</xdr:colOff>
      <xdr:row>9</xdr:row>
      <xdr:rowOff>103373</xdr:rowOff>
    </xdr:from>
    <xdr:to>
      <xdr:col>18</xdr:col>
      <xdr:colOff>185161</xdr:colOff>
      <xdr:row>22</xdr:row>
      <xdr:rowOff>182198</xdr:rowOff>
    </xdr:to>
    <mc:AlternateContent xmlns:mc="http://schemas.openxmlformats.org/markup-compatibility/2006" xmlns:a14="http://schemas.microsoft.com/office/drawing/2010/main">
      <mc:Choice Requires="a14">
        <xdr:graphicFrame macro="">
          <xdr:nvGraphicFramePr>
            <xdr:cNvPr id="15" name="Client 1">
              <a:extLst>
                <a:ext uri="{FF2B5EF4-FFF2-40B4-BE49-F238E27FC236}">
                  <a16:creationId xmlns:a16="http://schemas.microsoft.com/office/drawing/2014/main" id="{7CDAAD9B-070C-425F-880D-BF23FD5BF706}"/>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mlns="">
        <xdr:sp macro="" textlink="">
          <xdr:nvSpPr>
            <xdr:cNvPr id="0" name=""/>
            <xdr:cNvSpPr>
              <a:spLocks noTextEdit="1"/>
            </xdr:cNvSpPr>
          </xdr:nvSpPr>
          <xdr:spPr>
            <a:xfrm>
              <a:off x="9359790" y="1746436"/>
              <a:ext cx="1826746" cy="2452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227949</xdr:colOff>
      <xdr:row>2</xdr:row>
      <xdr:rowOff>162821</xdr:rowOff>
    </xdr:from>
    <xdr:ext cx="6374423" cy="280205"/>
    <xdr:sp macro="" textlink="">
      <xdr:nvSpPr>
        <xdr:cNvPr id="16" name="TextBox 15">
          <a:extLst>
            <a:ext uri="{FF2B5EF4-FFF2-40B4-BE49-F238E27FC236}">
              <a16:creationId xmlns:a16="http://schemas.microsoft.com/office/drawing/2014/main" id="{C1491A65-7953-F80F-3D9E-BEAD94E080C9}"/>
            </a:ext>
          </a:extLst>
        </xdr:cNvPr>
        <xdr:cNvSpPr txBox="1"/>
      </xdr:nvSpPr>
      <xdr:spPr>
        <a:xfrm>
          <a:off x="227949" y="537308"/>
          <a:ext cx="63744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a:solidFill>
                <a:schemeClr val="bg1"/>
              </a:solidFill>
            </a:rPr>
            <a:t>B2B Sales Data | 2019–2022 | 7 Clients, 4 Regions</a:t>
          </a:r>
        </a:p>
      </xdr:txBody>
    </xdr:sp>
    <xdr:clientData/>
  </xdr:oneCellAnchor>
  <xdr:twoCellAnchor>
    <xdr:from>
      <xdr:col>0</xdr:col>
      <xdr:colOff>136769</xdr:colOff>
      <xdr:row>4</xdr:row>
      <xdr:rowOff>178489</xdr:rowOff>
    </xdr:from>
    <xdr:to>
      <xdr:col>2</xdr:col>
      <xdr:colOff>359996</xdr:colOff>
      <xdr:row>8</xdr:row>
      <xdr:rowOff>165789</xdr:rowOff>
    </xdr:to>
    <xdr:sp macro="" textlink="PivotTable!B17">
      <xdr:nvSpPr>
        <xdr:cNvPr id="17" name="Rectangle: Rounded Corners 16">
          <a:extLst>
            <a:ext uri="{FF2B5EF4-FFF2-40B4-BE49-F238E27FC236}">
              <a16:creationId xmlns:a16="http://schemas.microsoft.com/office/drawing/2014/main" id="{1B57014A-FBA8-75DF-D9BA-98FD27ED731D}"/>
            </a:ext>
          </a:extLst>
        </xdr:cNvPr>
        <xdr:cNvSpPr/>
      </xdr:nvSpPr>
      <xdr:spPr>
        <a:xfrm>
          <a:off x="136769" y="908739"/>
          <a:ext cx="1445602"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186D3CF-E7DC-4C56-984A-92E579AE0674}" type="TxLink">
            <a:rPr lang="en-US" sz="1600" b="1" i="0" u="none" strike="noStrike">
              <a:solidFill>
                <a:schemeClr val="bg1"/>
              </a:solidFill>
              <a:latin typeface="Calibri"/>
              <a:cs typeface="Calibri"/>
            </a:rPr>
            <a:pPr algn="ctr"/>
            <a:t>$748,130,981</a:t>
          </a:fld>
          <a:endParaRPr lang="en-US" sz="1600" b="1">
            <a:solidFill>
              <a:schemeClr val="bg1"/>
            </a:solidFill>
          </a:endParaRPr>
        </a:p>
      </xdr:txBody>
    </xdr:sp>
    <xdr:clientData/>
  </xdr:twoCellAnchor>
  <xdr:twoCellAnchor>
    <xdr:from>
      <xdr:col>0</xdr:col>
      <xdr:colOff>159156</xdr:colOff>
      <xdr:row>7</xdr:row>
      <xdr:rowOff>87308</xdr:rowOff>
    </xdr:from>
    <xdr:to>
      <xdr:col>2</xdr:col>
      <xdr:colOff>321467</xdr:colOff>
      <xdr:row>8</xdr:row>
      <xdr:rowOff>127099</xdr:rowOff>
    </xdr:to>
    <xdr:sp macro="" textlink="">
      <xdr:nvSpPr>
        <xdr:cNvPr id="18" name="TextBox 17">
          <a:extLst>
            <a:ext uri="{FF2B5EF4-FFF2-40B4-BE49-F238E27FC236}">
              <a16:creationId xmlns:a16="http://schemas.microsoft.com/office/drawing/2014/main" id="{CBCC906F-32E9-4886-DDF1-FD2D7B7ED369}"/>
            </a:ext>
          </a:extLst>
        </xdr:cNvPr>
        <xdr:cNvSpPr txBox="1"/>
      </xdr:nvSpPr>
      <xdr:spPr>
        <a:xfrm>
          <a:off x="159156" y="1365246"/>
          <a:ext cx="1384686" cy="22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Revenue</a:t>
          </a:r>
        </a:p>
      </xdr:txBody>
    </xdr:sp>
    <xdr:clientData/>
  </xdr:twoCellAnchor>
  <xdr:twoCellAnchor>
    <xdr:from>
      <xdr:col>5</xdr:col>
      <xdr:colOff>283773</xdr:colOff>
      <xdr:row>7</xdr:row>
      <xdr:rowOff>100802</xdr:rowOff>
    </xdr:from>
    <xdr:to>
      <xdr:col>7</xdr:col>
      <xdr:colOff>446084</xdr:colOff>
      <xdr:row>8</xdr:row>
      <xdr:rowOff>140593</xdr:rowOff>
    </xdr:to>
    <xdr:sp macro="" textlink="">
      <xdr:nvSpPr>
        <xdr:cNvPr id="19" name="TextBox 18">
          <a:extLst>
            <a:ext uri="{FF2B5EF4-FFF2-40B4-BE49-F238E27FC236}">
              <a16:creationId xmlns:a16="http://schemas.microsoft.com/office/drawing/2014/main" id="{0B9058E2-25CC-2EB1-0E19-6589D5ADEF9E}"/>
            </a:ext>
          </a:extLst>
        </xdr:cNvPr>
        <xdr:cNvSpPr txBox="1"/>
      </xdr:nvSpPr>
      <xdr:spPr>
        <a:xfrm>
          <a:off x="3339711" y="1378740"/>
          <a:ext cx="1384686" cy="22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solidFill>
            </a:rPr>
            <a:t>Top-3  Concentration 2022</a:t>
          </a:r>
        </a:p>
      </xdr:txBody>
    </xdr:sp>
    <xdr:clientData/>
  </xdr:twoCellAnchor>
  <xdr:twoCellAnchor>
    <xdr:from>
      <xdr:col>2</xdr:col>
      <xdr:colOff>575080</xdr:colOff>
      <xdr:row>7</xdr:row>
      <xdr:rowOff>126202</xdr:rowOff>
    </xdr:from>
    <xdr:to>
      <xdr:col>5</xdr:col>
      <xdr:colOff>126203</xdr:colOff>
      <xdr:row>8</xdr:row>
      <xdr:rowOff>165993</xdr:rowOff>
    </xdr:to>
    <xdr:sp macro="" textlink="">
      <xdr:nvSpPr>
        <xdr:cNvPr id="20" name="TextBox 19">
          <a:extLst>
            <a:ext uri="{FF2B5EF4-FFF2-40B4-BE49-F238E27FC236}">
              <a16:creationId xmlns:a16="http://schemas.microsoft.com/office/drawing/2014/main" id="{41702A5E-56C5-C50D-8F07-4284695D963B}"/>
            </a:ext>
          </a:extLst>
        </xdr:cNvPr>
        <xdr:cNvSpPr txBox="1"/>
      </xdr:nvSpPr>
      <xdr:spPr>
        <a:xfrm>
          <a:off x="1797455" y="1404140"/>
          <a:ext cx="1384686" cy="22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Active</a:t>
          </a:r>
          <a:r>
            <a:rPr lang="en-US" sz="1100" baseline="0">
              <a:solidFill>
                <a:schemeClr val="bg1"/>
              </a:solidFill>
            </a:rPr>
            <a:t> Clients</a:t>
          </a:r>
          <a:endParaRPr lang="en-US" sz="1100">
            <a:solidFill>
              <a:schemeClr val="bg1"/>
            </a:solidFill>
          </a:endParaRPr>
        </a:p>
      </xdr:txBody>
    </xdr:sp>
    <xdr:clientData/>
  </xdr:twoCellAnchor>
  <xdr:twoCellAnchor>
    <xdr:from>
      <xdr:col>8</xdr:col>
      <xdr:colOff>15486</xdr:colOff>
      <xdr:row>7</xdr:row>
      <xdr:rowOff>126202</xdr:rowOff>
    </xdr:from>
    <xdr:to>
      <xdr:col>10</xdr:col>
      <xdr:colOff>177797</xdr:colOff>
      <xdr:row>8</xdr:row>
      <xdr:rowOff>165993</xdr:rowOff>
    </xdr:to>
    <xdr:sp macro="" textlink="">
      <xdr:nvSpPr>
        <xdr:cNvPr id="21" name="TextBox 20">
          <a:extLst>
            <a:ext uri="{FF2B5EF4-FFF2-40B4-BE49-F238E27FC236}">
              <a16:creationId xmlns:a16="http://schemas.microsoft.com/office/drawing/2014/main" id="{666989CE-89C4-E63B-3E76-9B28DA09545B}"/>
            </a:ext>
          </a:extLst>
        </xdr:cNvPr>
        <xdr:cNvSpPr txBox="1"/>
      </xdr:nvSpPr>
      <xdr:spPr>
        <a:xfrm>
          <a:off x="4904986" y="1404140"/>
          <a:ext cx="1384686" cy="22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2020-2022 Growth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e" refreshedDate="46232.920451736114" createdVersion="8" refreshedVersion="8" minRefreshableVersion="3" recordCount="714" xr:uid="{EFDDDF72-3EF4-4E0E-947E-1A7D10721C3E}">
  <cacheSource type="worksheet">
    <worksheetSource name="SalesData"/>
  </cacheSource>
  <cacheFields count="9">
    <cacheField name="Date" numFmtId="0">
      <sharedItems/>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acheField>
    <cacheField name="Year" numFmtId="0">
      <sharedItems containsSemiMixedTypes="0" containsString="0" containsNumber="1" containsInteger="1" minValue="2019" maxValue="2022" count="4">
        <n v="2019"/>
        <n v="2020"/>
        <n v="2021"/>
        <n v="2022"/>
      </sharedItems>
    </cacheField>
    <cacheField name="Quarter" numFmtId="0">
      <sharedItems count="4">
        <s v="Q3"/>
        <s v="Q4"/>
        <s v="Q1"/>
        <s v="Q2"/>
      </sharedItems>
    </cacheField>
    <cacheField name="Amount" numFmtId="164">
      <sharedItems containsSemiMixedTypes="0" containsString="0" containsNumber="1" containsInteger="1" minValue="50000" maxValue="1998763"/>
    </cacheField>
    <cacheField name="YearQuarter" numFmtId="0">
      <sharedItems count="14">
        <s v="2019-Q3"/>
        <s v="2019-Q4"/>
        <s v="2020-Q1"/>
        <s v="2020-Q2"/>
        <s v="2020-Q3"/>
        <s v="2020-Q4"/>
        <s v="2021-Q1"/>
        <s v="2021-Q2"/>
        <s v="2021-Q3"/>
        <s v="2021-Q4"/>
        <s v="2022-Q1"/>
        <s v="2022-Q2"/>
        <s v="2022-Q3"/>
        <s v="2022-Q4"/>
      </sharedItems>
    </cacheField>
    <cacheField name="PartialYear" numFmtId="0">
      <sharedItems/>
    </cacheField>
  </cacheFields>
  <extLst>
    <ext xmlns:x14="http://schemas.microsoft.com/office/spreadsheetml/2009/9/main" uri="{725AE2AE-9491-48be-B2B4-4EB974FC3084}">
      <x14:pivotCacheDefinition pivotCacheId="1393159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s v="2019-07-15"/>
    <x v="0"/>
    <x v="0"/>
    <s v="July"/>
    <x v="0"/>
    <x v="0"/>
    <n v="1741089"/>
    <x v="0"/>
    <s v="Yes"/>
  </r>
  <r>
    <s v="2019-07-19"/>
    <x v="1"/>
    <x v="1"/>
    <s v="July"/>
    <x v="0"/>
    <x v="0"/>
    <n v="514989"/>
    <x v="0"/>
    <s v="Yes"/>
  </r>
  <r>
    <s v="2019-07-26"/>
    <x v="2"/>
    <x v="1"/>
    <s v="July"/>
    <x v="0"/>
    <x v="0"/>
    <n v="230071"/>
    <x v="0"/>
    <s v="Yes"/>
  </r>
  <r>
    <s v="2019-08-11"/>
    <x v="3"/>
    <x v="2"/>
    <s v="August"/>
    <x v="0"/>
    <x v="0"/>
    <n v="1148912"/>
    <x v="0"/>
    <s v="Yes"/>
  </r>
  <r>
    <s v="2019-08-15"/>
    <x v="4"/>
    <x v="3"/>
    <s v="August"/>
    <x v="0"/>
    <x v="0"/>
    <n v="405991"/>
    <x v="0"/>
    <s v="Yes"/>
  </r>
  <r>
    <s v="2019-08-22"/>
    <x v="5"/>
    <x v="0"/>
    <s v="August"/>
    <x v="0"/>
    <x v="0"/>
    <n v="191708"/>
    <x v="0"/>
    <s v="Yes"/>
  </r>
  <r>
    <s v="2019-08-24"/>
    <x v="6"/>
    <x v="0"/>
    <s v="August"/>
    <x v="0"/>
    <x v="0"/>
    <n v="1757908"/>
    <x v="0"/>
    <s v="Yes"/>
  </r>
  <r>
    <s v="2019-09-15"/>
    <x v="5"/>
    <x v="1"/>
    <s v="September"/>
    <x v="0"/>
    <x v="0"/>
    <n v="1209282"/>
    <x v="0"/>
    <s v="Yes"/>
  </r>
  <r>
    <s v="2019-09-17"/>
    <x v="4"/>
    <x v="3"/>
    <s v="September"/>
    <x v="0"/>
    <x v="0"/>
    <n v="1581662"/>
    <x v="0"/>
    <s v="Yes"/>
  </r>
  <r>
    <s v="2019-10-16"/>
    <x v="4"/>
    <x v="0"/>
    <s v="October"/>
    <x v="0"/>
    <x v="1"/>
    <n v="376043"/>
    <x v="1"/>
    <s v="Yes"/>
  </r>
  <r>
    <s v="2019-10-25"/>
    <x v="2"/>
    <x v="1"/>
    <s v="October"/>
    <x v="0"/>
    <x v="1"/>
    <n v="1978299"/>
    <x v="1"/>
    <s v="Yes"/>
  </r>
  <r>
    <s v="2019-11-05"/>
    <x v="2"/>
    <x v="0"/>
    <s v="November"/>
    <x v="0"/>
    <x v="1"/>
    <n v="914785"/>
    <x v="1"/>
    <s v="Yes"/>
  </r>
  <r>
    <s v="2019-11-19"/>
    <x v="2"/>
    <x v="1"/>
    <s v="November"/>
    <x v="0"/>
    <x v="1"/>
    <n v="1711222"/>
    <x v="1"/>
    <s v="Yes"/>
  </r>
  <r>
    <s v="2019-11-25"/>
    <x v="2"/>
    <x v="0"/>
    <s v="November"/>
    <x v="0"/>
    <x v="1"/>
    <n v="407874"/>
    <x v="1"/>
    <s v="Yes"/>
  </r>
  <r>
    <s v="2019-11-27"/>
    <x v="2"/>
    <x v="3"/>
    <s v="November"/>
    <x v="0"/>
    <x v="1"/>
    <n v="1257231"/>
    <x v="1"/>
    <s v="Yes"/>
  </r>
  <r>
    <s v="2019-11-29"/>
    <x v="2"/>
    <x v="2"/>
    <s v="November"/>
    <x v="0"/>
    <x v="1"/>
    <n v="589765"/>
    <x v="1"/>
    <s v="Yes"/>
  </r>
  <r>
    <s v="2019-12-25"/>
    <x v="4"/>
    <x v="2"/>
    <s v="December"/>
    <x v="0"/>
    <x v="1"/>
    <n v="485286"/>
    <x v="1"/>
    <s v="Yes"/>
  </r>
  <r>
    <s v="2019-12-27"/>
    <x v="4"/>
    <x v="2"/>
    <s v="December"/>
    <x v="0"/>
    <x v="1"/>
    <n v="467422"/>
    <x v="1"/>
    <s v="Yes"/>
  </r>
  <r>
    <s v="2019-12-30"/>
    <x v="4"/>
    <x v="1"/>
    <s v="December"/>
    <x v="0"/>
    <x v="1"/>
    <n v="1838220"/>
    <x v="1"/>
    <s v="Yes"/>
  </r>
  <r>
    <s v="2020-01-01"/>
    <x v="4"/>
    <x v="1"/>
    <s v="January"/>
    <x v="1"/>
    <x v="2"/>
    <n v="564927"/>
    <x v="2"/>
    <s v="No"/>
  </r>
  <r>
    <s v="2020-01-02"/>
    <x v="4"/>
    <x v="0"/>
    <s v="January"/>
    <x v="1"/>
    <x v="2"/>
    <n v="239424"/>
    <x v="2"/>
    <s v="No"/>
  </r>
  <r>
    <s v="2020-01-02"/>
    <x v="4"/>
    <x v="1"/>
    <s v="January"/>
    <x v="1"/>
    <x v="2"/>
    <n v="774500"/>
    <x v="2"/>
    <s v="No"/>
  </r>
  <r>
    <s v="2020-01-02"/>
    <x v="4"/>
    <x v="0"/>
    <s v="January"/>
    <x v="1"/>
    <x v="2"/>
    <n v="1096869"/>
    <x v="2"/>
    <s v="No"/>
  </r>
  <r>
    <s v="2020-01-03"/>
    <x v="4"/>
    <x v="0"/>
    <s v="January"/>
    <x v="1"/>
    <x v="2"/>
    <n v="1862557"/>
    <x v="2"/>
    <s v="No"/>
  </r>
  <r>
    <s v="2020-01-09"/>
    <x v="4"/>
    <x v="2"/>
    <s v="January"/>
    <x v="1"/>
    <x v="2"/>
    <n v="1437017"/>
    <x v="2"/>
    <s v="No"/>
  </r>
  <r>
    <s v="2020-01-09"/>
    <x v="4"/>
    <x v="0"/>
    <s v="January"/>
    <x v="1"/>
    <x v="2"/>
    <n v="1848717"/>
    <x v="2"/>
    <s v="No"/>
  </r>
  <r>
    <s v="2020-01-11"/>
    <x v="5"/>
    <x v="1"/>
    <s v="January"/>
    <x v="1"/>
    <x v="2"/>
    <n v="1933018"/>
    <x v="2"/>
    <s v="No"/>
  </r>
  <r>
    <s v="2020-01-11"/>
    <x v="5"/>
    <x v="0"/>
    <s v="January"/>
    <x v="1"/>
    <x v="2"/>
    <n v="1987908"/>
    <x v="2"/>
    <s v="No"/>
  </r>
  <r>
    <s v="2020-01-12"/>
    <x v="5"/>
    <x v="3"/>
    <s v="January"/>
    <x v="1"/>
    <x v="2"/>
    <n v="1750150"/>
    <x v="2"/>
    <s v="No"/>
  </r>
  <r>
    <s v="2020-01-12"/>
    <x v="5"/>
    <x v="3"/>
    <s v="January"/>
    <x v="1"/>
    <x v="2"/>
    <n v="1264058"/>
    <x v="2"/>
    <s v="No"/>
  </r>
  <r>
    <s v="2020-01-13"/>
    <x v="5"/>
    <x v="1"/>
    <s v="January"/>
    <x v="1"/>
    <x v="2"/>
    <n v="391699"/>
    <x v="2"/>
    <s v="No"/>
  </r>
  <r>
    <s v="2020-01-13"/>
    <x v="5"/>
    <x v="0"/>
    <s v="January"/>
    <x v="1"/>
    <x v="2"/>
    <n v="1495289"/>
    <x v="2"/>
    <s v="No"/>
  </r>
  <r>
    <s v="2020-01-15"/>
    <x v="5"/>
    <x v="0"/>
    <s v="January"/>
    <x v="1"/>
    <x v="2"/>
    <n v="1958181"/>
    <x v="2"/>
    <s v="No"/>
  </r>
  <r>
    <s v="2020-01-16"/>
    <x v="5"/>
    <x v="2"/>
    <s v="January"/>
    <x v="1"/>
    <x v="2"/>
    <n v="1766994"/>
    <x v="2"/>
    <s v="No"/>
  </r>
  <r>
    <s v="2020-01-16"/>
    <x v="5"/>
    <x v="2"/>
    <s v="January"/>
    <x v="1"/>
    <x v="2"/>
    <n v="877778"/>
    <x v="2"/>
    <s v="No"/>
  </r>
  <r>
    <s v="2020-01-16"/>
    <x v="5"/>
    <x v="2"/>
    <s v="January"/>
    <x v="1"/>
    <x v="2"/>
    <n v="1366272"/>
    <x v="2"/>
    <s v="No"/>
  </r>
  <r>
    <s v="2020-01-16"/>
    <x v="3"/>
    <x v="0"/>
    <s v="January"/>
    <x v="1"/>
    <x v="2"/>
    <n v="1718743"/>
    <x v="2"/>
    <s v="No"/>
  </r>
  <r>
    <s v="2020-01-17"/>
    <x v="3"/>
    <x v="1"/>
    <s v="January"/>
    <x v="1"/>
    <x v="2"/>
    <n v="538621"/>
    <x v="2"/>
    <s v="No"/>
  </r>
  <r>
    <s v="2020-01-23"/>
    <x v="3"/>
    <x v="3"/>
    <s v="January"/>
    <x v="1"/>
    <x v="2"/>
    <n v="184900"/>
    <x v="2"/>
    <s v="No"/>
  </r>
  <r>
    <s v="2020-01-24"/>
    <x v="3"/>
    <x v="0"/>
    <s v="January"/>
    <x v="1"/>
    <x v="2"/>
    <n v="1598219"/>
    <x v="2"/>
    <s v="No"/>
  </r>
  <r>
    <s v="2020-01-25"/>
    <x v="4"/>
    <x v="2"/>
    <s v="January"/>
    <x v="1"/>
    <x v="2"/>
    <n v="1370705"/>
    <x v="2"/>
    <s v="No"/>
  </r>
  <r>
    <s v="2020-01-26"/>
    <x v="5"/>
    <x v="2"/>
    <s v="January"/>
    <x v="1"/>
    <x v="2"/>
    <n v="969025"/>
    <x v="2"/>
    <s v="No"/>
  </r>
  <r>
    <s v="2020-01-26"/>
    <x v="3"/>
    <x v="0"/>
    <s v="January"/>
    <x v="1"/>
    <x v="2"/>
    <n v="1988680"/>
    <x v="2"/>
    <s v="No"/>
  </r>
  <r>
    <s v="2020-01-28"/>
    <x v="3"/>
    <x v="1"/>
    <s v="January"/>
    <x v="1"/>
    <x v="2"/>
    <n v="1520170"/>
    <x v="2"/>
    <s v="No"/>
  </r>
  <r>
    <s v="2020-01-29"/>
    <x v="4"/>
    <x v="0"/>
    <s v="January"/>
    <x v="1"/>
    <x v="2"/>
    <n v="1683109"/>
    <x v="2"/>
    <s v="No"/>
  </r>
  <r>
    <s v="2020-02-01"/>
    <x v="3"/>
    <x v="3"/>
    <s v="February"/>
    <x v="1"/>
    <x v="2"/>
    <n v="756093"/>
    <x v="2"/>
    <s v="No"/>
  </r>
  <r>
    <s v="2020-02-02"/>
    <x v="3"/>
    <x v="0"/>
    <s v="February"/>
    <x v="1"/>
    <x v="2"/>
    <n v="1635914"/>
    <x v="2"/>
    <s v="No"/>
  </r>
  <r>
    <s v="2020-02-03"/>
    <x v="3"/>
    <x v="1"/>
    <s v="February"/>
    <x v="1"/>
    <x v="2"/>
    <n v="1704629"/>
    <x v="2"/>
    <s v="No"/>
  </r>
  <r>
    <s v="2020-02-10"/>
    <x v="3"/>
    <x v="0"/>
    <s v="February"/>
    <x v="1"/>
    <x v="2"/>
    <n v="925137"/>
    <x v="2"/>
    <s v="No"/>
  </r>
  <r>
    <s v="2020-02-10"/>
    <x v="3"/>
    <x v="3"/>
    <s v="February"/>
    <x v="1"/>
    <x v="2"/>
    <n v="1246174"/>
    <x v="2"/>
    <s v="No"/>
  </r>
  <r>
    <s v="2020-02-14"/>
    <x v="3"/>
    <x v="0"/>
    <s v="February"/>
    <x v="1"/>
    <x v="2"/>
    <n v="576222"/>
    <x v="2"/>
    <s v="No"/>
  </r>
  <r>
    <s v="2020-02-15"/>
    <x v="3"/>
    <x v="2"/>
    <s v="February"/>
    <x v="1"/>
    <x v="2"/>
    <n v="953291"/>
    <x v="2"/>
    <s v="No"/>
  </r>
  <r>
    <s v="2020-02-17"/>
    <x v="3"/>
    <x v="1"/>
    <s v="February"/>
    <x v="1"/>
    <x v="2"/>
    <n v="1593038"/>
    <x v="2"/>
    <s v="No"/>
  </r>
  <r>
    <s v="2020-02-19"/>
    <x v="3"/>
    <x v="0"/>
    <s v="February"/>
    <x v="1"/>
    <x v="2"/>
    <n v="1784478"/>
    <x v="2"/>
    <s v="No"/>
  </r>
  <r>
    <s v="2020-02-21"/>
    <x v="3"/>
    <x v="0"/>
    <s v="February"/>
    <x v="1"/>
    <x v="2"/>
    <n v="1493958"/>
    <x v="2"/>
    <s v="No"/>
  </r>
  <r>
    <s v="2020-02-22"/>
    <x v="3"/>
    <x v="1"/>
    <s v="February"/>
    <x v="1"/>
    <x v="2"/>
    <n v="1509042"/>
    <x v="2"/>
    <s v="No"/>
  </r>
  <r>
    <s v="2020-02-25"/>
    <x v="3"/>
    <x v="0"/>
    <s v="February"/>
    <x v="1"/>
    <x v="2"/>
    <n v="1445703"/>
    <x v="2"/>
    <s v="No"/>
  </r>
  <r>
    <s v="2020-02-25"/>
    <x v="3"/>
    <x v="1"/>
    <s v="February"/>
    <x v="1"/>
    <x v="2"/>
    <n v="1219313"/>
    <x v="2"/>
    <s v="No"/>
  </r>
  <r>
    <s v="2020-02-26"/>
    <x v="3"/>
    <x v="2"/>
    <s v="February"/>
    <x v="1"/>
    <x v="2"/>
    <n v="1378458"/>
    <x v="2"/>
    <s v="No"/>
  </r>
  <r>
    <s v="2020-02-26"/>
    <x v="3"/>
    <x v="0"/>
    <s v="February"/>
    <x v="1"/>
    <x v="2"/>
    <n v="812267"/>
    <x v="2"/>
    <s v="No"/>
  </r>
  <r>
    <s v="2020-02-27"/>
    <x v="5"/>
    <x v="1"/>
    <s v="February"/>
    <x v="1"/>
    <x v="2"/>
    <n v="1473799"/>
    <x v="2"/>
    <s v="No"/>
  </r>
  <r>
    <s v="2020-02-27"/>
    <x v="0"/>
    <x v="2"/>
    <s v="February"/>
    <x v="1"/>
    <x v="2"/>
    <n v="1085955"/>
    <x v="2"/>
    <s v="No"/>
  </r>
  <r>
    <s v="2020-03-01"/>
    <x v="0"/>
    <x v="3"/>
    <s v="March"/>
    <x v="1"/>
    <x v="2"/>
    <n v="1822041"/>
    <x v="2"/>
    <s v="No"/>
  </r>
  <r>
    <s v="2020-03-02"/>
    <x v="0"/>
    <x v="1"/>
    <s v="March"/>
    <x v="1"/>
    <x v="2"/>
    <n v="942170"/>
    <x v="2"/>
    <s v="No"/>
  </r>
  <r>
    <s v="2020-03-04"/>
    <x v="0"/>
    <x v="0"/>
    <s v="March"/>
    <x v="1"/>
    <x v="2"/>
    <n v="1148983"/>
    <x v="2"/>
    <s v="No"/>
  </r>
  <r>
    <s v="2020-03-04"/>
    <x v="0"/>
    <x v="0"/>
    <s v="March"/>
    <x v="1"/>
    <x v="2"/>
    <n v="790962"/>
    <x v="2"/>
    <s v="No"/>
  </r>
  <r>
    <s v="2020-03-04"/>
    <x v="0"/>
    <x v="0"/>
    <s v="March"/>
    <x v="1"/>
    <x v="2"/>
    <n v="1771632"/>
    <x v="2"/>
    <s v="No"/>
  </r>
  <r>
    <s v="2020-03-07"/>
    <x v="0"/>
    <x v="3"/>
    <s v="March"/>
    <x v="1"/>
    <x v="2"/>
    <n v="1233631"/>
    <x v="2"/>
    <s v="No"/>
  </r>
  <r>
    <s v="2020-03-11"/>
    <x v="0"/>
    <x v="0"/>
    <s v="March"/>
    <x v="1"/>
    <x v="2"/>
    <n v="1107658"/>
    <x v="2"/>
    <s v="No"/>
  </r>
  <r>
    <s v="2020-03-13"/>
    <x v="0"/>
    <x v="0"/>
    <s v="March"/>
    <x v="1"/>
    <x v="2"/>
    <n v="1498380"/>
    <x v="2"/>
    <s v="No"/>
  </r>
  <r>
    <s v="2020-03-15"/>
    <x v="0"/>
    <x v="0"/>
    <s v="March"/>
    <x v="1"/>
    <x v="2"/>
    <n v="226445"/>
    <x v="2"/>
    <s v="No"/>
  </r>
  <r>
    <s v="2020-03-16"/>
    <x v="0"/>
    <x v="0"/>
    <s v="March"/>
    <x v="1"/>
    <x v="2"/>
    <n v="407754"/>
    <x v="2"/>
    <s v="No"/>
  </r>
  <r>
    <s v="2020-03-17"/>
    <x v="0"/>
    <x v="0"/>
    <s v="March"/>
    <x v="1"/>
    <x v="2"/>
    <n v="322835"/>
    <x v="2"/>
    <s v="No"/>
  </r>
  <r>
    <s v="2020-03-17"/>
    <x v="0"/>
    <x v="1"/>
    <s v="March"/>
    <x v="1"/>
    <x v="2"/>
    <n v="667093"/>
    <x v="2"/>
    <s v="No"/>
  </r>
  <r>
    <s v="2020-03-19"/>
    <x v="5"/>
    <x v="0"/>
    <s v="March"/>
    <x v="1"/>
    <x v="2"/>
    <n v="1257419"/>
    <x v="2"/>
    <s v="No"/>
  </r>
  <r>
    <s v="2020-03-19"/>
    <x v="6"/>
    <x v="3"/>
    <s v="March"/>
    <x v="1"/>
    <x v="2"/>
    <n v="1289709"/>
    <x v="2"/>
    <s v="No"/>
  </r>
  <r>
    <s v="2020-03-21"/>
    <x v="6"/>
    <x v="2"/>
    <s v="March"/>
    <x v="1"/>
    <x v="2"/>
    <n v="344951"/>
    <x v="2"/>
    <s v="No"/>
  </r>
  <r>
    <s v="2020-03-22"/>
    <x v="6"/>
    <x v="2"/>
    <s v="March"/>
    <x v="1"/>
    <x v="2"/>
    <n v="1326360"/>
    <x v="2"/>
    <s v="No"/>
  </r>
  <r>
    <s v="2020-03-24"/>
    <x v="6"/>
    <x v="2"/>
    <s v="March"/>
    <x v="1"/>
    <x v="2"/>
    <n v="1863118"/>
    <x v="2"/>
    <s v="No"/>
  </r>
  <r>
    <s v="2020-04-03"/>
    <x v="6"/>
    <x v="2"/>
    <s v="April"/>
    <x v="1"/>
    <x v="2"/>
    <n v="1153948"/>
    <x v="2"/>
    <s v="No"/>
  </r>
  <r>
    <s v="2020-04-03"/>
    <x v="6"/>
    <x v="2"/>
    <s v="April"/>
    <x v="1"/>
    <x v="2"/>
    <n v="752850"/>
    <x v="2"/>
    <s v="No"/>
  </r>
  <r>
    <s v="2020-04-05"/>
    <x v="6"/>
    <x v="2"/>
    <s v="April"/>
    <x v="1"/>
    <x v="2"/>
    <n v="1649721"/>
    <x v="2"/>
    <s v="No"/>
  </r>
  <r>
    <s v="2020-04-05"/>
    <x v="6"/>
    <x v="2"/>
    <s v="April"/>
    <x v="1"/>
    <x v="2"/>
    <n v="1014259"/>
    <x v="2"/>
    <s v="No"/>
  </r>
  <r>
    <s v="2020-04-05"/>
    <x v="6"/>
    <x v="2"/>
    <s v="April"/>
    <x v="1"/>
    <x v="2"/>
    <n v="849261"/>
    <x v="2"/>
    <s v="No"/>
  </r>
  <r>
    <s v="2020-04-06"/>
    <x v="6"/>
    <x v="2"/>
    <s v="April"/>
    <x v="1"/>
    <x v="2"/>
    <n v="1716438"/>
    <x v="2"/>
    <s v="No"/>
  </r>
  <r>
    <s v="2020-04-09"/>
    <x v="6"/>
    <x v="2"/>
    <s v="April"/>
    <x v="1"/>
    <x v="2"/>
    <n v="1862963"/>
    <x v="2"/>
    <s v="No"/>
  </r>
  <r>
    <s v="2020-04-10"/>
    <x v="6"/>
    <x v="2"/>
    <s v="April"/>
    <x v="1"/>
    <x v="2"/>
    <n v="1454907"/>
    <x v="2"/>
    <s v="No"/>
  </r>
  <r>
    <s v="2020-04-10"/>
    <x v="6"/>
    <x v="2"/>
    <s v="April"/>
    <x v="1"/>
    <x v="2"/>
    <n v="207300"/>
    <x v="2"/>
    <s v="No"/>
  </r>
  <r>
    <s v="2020-04-11"/>
    <x v="6"/>
    <x v="0"/>
    <s v="April"/>
    <x v="1"/>
    <x v="2"/>
    <n v="1230645"/>
    <x v="2"/>
    <s v="No"/>
  </r>
  <r>
    <s v="2020-04-11"/>
    <x v="6"/>
    <x v="2"/>
    <s v="April"/>
    <x v="1"/>
    <x v="2"/>
    <n v="536469"/>
    <x v="2"/>
    <s v="No"/>
  </r>
  <r>
    <s v="2020-04-12"/>
    <x v="6"/>
    <x v="2"/>
    <s v="April"/>
    <x v="1"/>
    <x v="2"/>
    <n v="153011"/>
    <x v="2"/>
    <s v="No"/>
  </r>
  <r>
    <s v="2020-04-12"/>
    <x v="6"/>
    <x v="2"/>
    <s v="April"/>
    <x v="1"/>
    <x v="2"/>
    <n v="1697736"/>
    <x v="2"/>
    <s v="No"/>
  </r>
  <r>
    <s v="2020-04-14"/>
    <x v="6"/>
    <x v="2"/>
    <s v="April"/>
    <x v="1"/>
    <x v="2"/>
    <n v="281074"/>
    <x v="2"/>
    <s v="No"/>
  </r>
  <r>
    <s v="2020-04-18"/>
    <x v="6"/>
    <x v="2"/>
    <s v="April"/>
    <x v="1"/>
    <x v="2"/>
    <n v="1125999"/>
    <x v="2"/>
    <s v="No"/>
  </r>
  <r>
    <s v="2020-04-18"/>
    <x v="6"/>
    <x v="0"/>
    <s v="April"/>
    <x v="1"/>
    <x v="2"/>
    <n v="1541895"/>
    <x v="2"/>
    <s v="No"/>
  </r>
  <r>
    <s v="2020-04-20"/>
    <x v="5"/>
    <x v="0"/>
    <s v="April"/>
    <x v="1"/>
    <x v="2"/>
    <n v="1607715"/>
    <x v="2"/>
    <s v="No"/>
  </r>
  <r>
    <s v="2020-04-24"/>
    <x v="5"/>
    <x v="0"/>
    <s v="April"/>
    <x v="1"/>
    <x v="2"/>
    <n v="824127"/>
    <x v="2"/>
    <s v="No"/>
  </r>
  <r>
    <s v="2020-04-26"/>
    <x v="5"/>
    <x v="0"/>
    <s v="April"/>
    <x v="1"/>
    <x v="2"/>
    <n v="500931"/>
    <x v="2"/>
    <s v="No"/>
  </r>
  <r>
    <s v="2020-04-26"/>
    <x v="5"/>
    <x v="0"/>
    <s v="April"/>
    <x v="1"/>
    <x v="2"/>
    <n v="343248"/>
    <x v="2"/>
    <s v="No"/>
  </r>
  <r>
    <s v="2020-04-26"/>
    <x v="5"/>
    <x v="0"/>
    <s v="April"/>
    <x v="1"/>
    <x v="2"/>
    <n v="238885"/>
    <x v="2"/>
    <s v="No"/>
  </r>
  <r>
    <s v="2020-04-27"/>
    <x v="5"/>
    <x v="0"/>
    <s v="April"/>
    <x v="1"/>
    <x v="2"/>
    <n v="1425288"/>
    <x v="2"/>
    <s v="No"/>
  </r>
  <r>
    <s v="2020-04-27"/>
    <x v="5"/>
    <x v="0"/>
    <s v="April"/>
    <x v="1"/>
    <x v="2"/>
    <n v="223896"/>
    <x v="2"/>
    <s v="No"/>
  </r>
  <r>
    <s v="2020-04-28"/>
    <x v="1"/>
    <x v="0"/>
    <s v="April"/>
    <x v="1"/>
    <x v="2"/>
    <n v="949953"/>
    <x v="2"/>
    <s v="No"/>
  </r>
  <r>
    <s v="2020-04-30"/>
    <x v="1"/>
    <x v="0"/>
    <s v="April"/>
    <x v="1"/>
    <x v="2"/>
    <n v="1122767"/>
    <x v="2"/>
    <s v="No"/>
  </r>
  <r>
    <s v="2020-05-01"/>
    <x v="1"/>
    <x v="0"/>
    <s v="May"/>
    <x v="1"/>
    <x v="3"/>
    <n v="1506717"/>
    <x v="3"/>
    <s v="No"/>
  </r>
  <r>
    <s v="2020-05-02"/>
    <x v="1"/>
    <x v="0"/>
    <s v="May"/>
    <x v="1"/>
    <x v="3"/>
    <n v="842817"/>
    <x v="3"/>
    <s v="No"/>
  </r>
  <r>
    <s v="2020-05-04"/>
    <x v="1"/>
    <x v="0"/>
    <s v="May"/>
    <x v="1"/>
    <x v="3"/>
    <n v="1389693"/>
    <x v="3"/>
    <s v="No"/>
  </r>
  <r>
    <s v="2020-05-05"/>
    <x v="1"/>
    <x v="0"/>
    <s v="May"/>
    <x v="1"/>
    <x v="3"/>
    <n v="563256"/>
    <x v="3"/>
    <s v="No"/>
  </r>
  <r>
    <s v="2020-05-05"/>
    <x v="1"/>
    <x v="3"/>
    <s v="May"/>
    <x v="1"/>
    <x v="3"/>
    <n v="1893271"/>
    <x v="3"/>
    <s v="No"/>
  </r>
  <r>
    <s v="2020-05-05"/>
    <x v="1"/>
    <x v="0"/>
    <s v="May"/>
    <x v="1"/>
    <x v="3"/>
    <n v="688034"/>
    <x v="3"/>
    <s v="No"/>
  </r>
  <r>
    <s v="2020-05-06"/>
    <x v="1"/>
    <x v="0"/>
    <s v="May"/>
    <x v="1"/>
    <x v="3"/>
    <n v="1612228"/>
    <x v="3"/>
    <s v="No"/>
  </r>
  <r>
    <s v="2020-05-08"/>
    <x v="1"/>
    <x v="0"/>
    <s v="May"/>
    <x v="1"/>
    <x v="3"/>
    <n v="1945477"/>
    <x v="3"/>
    <s v="No"/>
  </r>
  <r>
    <s v="2020-05-08"/>
    <x v="1"/>
    <x v="0"/>
    <s v="May"/>
    <x v="1"/>
    <x v="3"/>
    <n v="350572"/>
    <x v="3"/>
    <s v="No"/>
  </r>
  <r>
    <s v="2020-05-08"/>
    <x v="1"/>
    <x v="0"/>
    <s v="May"/>
    <x v="1"/>
    <x v="3"/>
    <n v="1083441"/>
    <x v="3"/>
    <s v="No"/>
  </r>
  <r>
    <s v="2020-05-10"/>
    <x v="1"/>
    <x v="0"/>
    <s v="May"/>
    <x v="1"/>
    <x v="3"/>
    <n v="340954"/>
    <x v="3"/>
    <s v="No"/>
  </r>
  <r>
    <s v="2020-05-13"/>
    <x v="1"/>
    <x v="0"/>
    <s v="May"/>
    <x v="1"/>
    <x v="3"/>
    <n v="166600"/>
    <x v="3"/>
    <s v="No"/>
  </r>
  <r>
    <s v="2020-05-14"/>
    <x v="1"/>
    <x v="0"/>
    <s v="May"/>
    <x v="1"/>
    <x v="3"/>
    <n v="1675768"/>
    <x v="3"/>
    <s v="No"/>
  </r>
  <r>
    <s v="2020-05-16"/>
    <x v="1"/>
    <x v="0"/>
    <s v="May"/>
    <x v="1"/>
    <x v="3"/>
    <n v="140361"/>
    <x v="3"/>
    <s v="No"/>
  </r>
  <r>
    <s v="2020-05-20"/>
    <x v="1"/>
    <x v="0"/>
    <s v="May"/>
    <x v="1"/>
    <x v="3"/>
    <n v="1671316"/>
    <x v="3"/>
    <s v="No"/>
  </r>
  <r>
    <s v="2020-05-21"/>
    <x v="1"/>
    <x v="0"/>
    <s v="May"/>
    <x v="1"/>
    <x v="3"/>
    <n v="1968717"/>
    <x v="3"/>
    <s v="No"/>
  </r>
  <r>
    <s v="2020-05-22"/>
    <x v="1"/>
    <x v="3"/>
    <s v="May"/>
    <x v="1"/>
    <x v="3"/>
    <n v="393879"/>
    <x v="3"/>
    <s v="No"/>
  </r>
  <r>
    <s v="2020-05-23"/>
    <x v="1"/>
    <x v="0"/>
    <s v="May"/>
    <x v="1"/>
    <x v="3"/>
    <n v="1489957"/>
    <x v="3"/>
    <s v="No"/>
  </r>
  <r>
    <s v="2020-05-24"/>
    <x v="1"/>
    <x v="3"/>
    <s v="May"/>
    <x v="1"/>
    <x v="3"/>
    <n v="343043"/>
    <x v="3"/>
    <s v="No"/>
  </r>
  <r>
    <s v="2020-05-24"/>
    <x v="1"/>
    <x v="0"/>
    <s v="May"/>
    <x v="1"/>
    <x v="3"/>
    <n v="156636"/>
    <x v="3"/>
    <s v="No"/>
  </r>
  <r>
    <s v="2020-05-26"/>
    <x v="1"/>
    <x v="3"/>
    <s v="May"/>
    <x v="1"/>
    <x v="3"/>
    <n v="153941"/>
    <x v="3"/>
    <s v="No"/>
  </r>
  <r>
    <s v="2020-05-27"/>
    <x v="1"/>
    <x v="3"/>
    <s v="May"/>
    <x v="1"/>
    <x v="3"/>
    <n v="1725603"/>
    <x v="3"/>
    <s v="No"/>
  </r>
  <r>
    <s v="2020-05-28"/>
    <x v="5"/>
    <x v="2"/>
    <s v="May"/>
    <x v="1"/>
    <x v="3"/>
    <n v="661441"/>
    <x v="3"/>
    <s v="No"/>
  </r>
  <r>
    <s v="2020-05-29"/>
    <x v="1"/>
    <x v="3"/>
    <s v="May"/>
    <x v="1"/>
    <x v="3"/>
    <n v="1225116"/>
    <x v="3"/>
    <s v="No"/>
  </r>
  <r>
    <s v="2020-06-01"/>
    <x v="1"/>
    <x v="3"/>
    <s v="June"/>
    <x v="1"/>
    <x v="3"/>
    <n v="1542829"/>
    <x v="3"/>
    <s v="No"/>
  </r>
  <r>
    <s v="2020-06-06"/>
    <x v="1"/>
    <x v="3"/>
    <s v="June"/>
    <x v="1"/>
    <x v="3"/>
    <n v="1297497"/>
    <x v="3"/>
    <s v="No"/>
  </r>
  <r>
    <s v="2020-06-06"/>
    <x v="5"/>
    <x v="3"/>
    <s v="June"/>
    <x v="1"/>
    <x v="3"/>
    <n v="1950030"/>
    <x v="3"/>
    <s v="No"/>
  </r>
  <r>
    <s v="2020-06-07"/>
    <x v="1"/>
    <x v="2"/>
    <s v="June"/>
    <x v="1"/>
    <x v="3"/>
    <n v="1438207"/>
    <x v="3"/>
    <s v="No"/>
  </r>
  <r>
    <s v="2020-06-09"/>
    <x v="1"/>
    <x v="3"/>
    <s v="June"/>
    <x v="1"/>
    <x v="3"/>
    <n v="1122487"/>
    <x v="3"/>
    <s v="No"/>
  </r>
  <r>
    <s v="2020-06-10"/>
    <x v="5"/>
    <x v="3"/>
    <s v="June"/>
    <x v="1"/>
    <x v="3"/>
    <n v="364278"/>
    <x v="3"/>
    <s v="No"/>
  </r>
  <r>
    <s v="2020-06-10"/>
    <x v="1"/>
    <x v="3"/>
    <s v="June"/>
    <x v="1"/>
    <x v="3"/>
    <n v="297267"/>
    <x v="3"/>
    <s v="No"/>
  </r>
  <r>
    <s v="2020-06-13"/>
    <x v="1"/>
    <x v="3"/>
    <s v="June"/>
    <x v="1"/>
    <x v="3"/>
    <n v="731138"/>
    <x v="3"/>
    <s v="No"/>
  </r>
  <r>
    <s v="2020-06-16"/>
    <x v="1"/>
    <x v="3"/>
    <s v="June"/>
    <x v="1"/>
    <x v="3"/>
    <n v="1558700"/>
    <x v="3"/>
    <s v="No"/>
  </r>
  <r>
    <s v="2020-06-19"/>
    <x v="1"/>
    <x v="0"/>
    <s v="June"/>
    <x v="1"/>
    <x v="3"/>
    <n v="130451"/>
    <x v="3"/>
    <s v="No"/>
  </r>
  <r>
    <s v="2020-06-19"/>
    <x v="5"/>
    <x v="3"/>
    <s v="June"/>
    <x v="1"/>
    <x v="3"/>
    <n v="1798005"/>
    <x v="3"/>
    <s v="No"/>
  </r>
  <r>
    <s v="2020-06-19"/>
    <x v="1"/>
    <x v="3"/>
    <s v="June"/>
    <x v="1"/>
    <x v="3"/>
    <n v="956910"/>
    <x v="3"/>
    <s v="No"/>
  </r>
  <r>
    <s v="2020-06-20"/>
    <x v="1"/>
    <x v="2"/>
    <s v="June"/>
    <x v="1"/>
    <x v="3"/>
    <n v="1973431"/>
    <x v="3"/>
    <s v="No"/>
  </r>
  <r>
    <s v="2020-06-26"/>
    <x v="5"/>
    <x v="2"/>
    <s v="June"/>
    <x v="1"/>
    <x v="3"/>
    <n v="922236"/>
    <x v="3"/>
    <s v="No"/>
  </r>
  <r>
    <s v="2020-06-28"/>
    <x v="1"/>
    <x v="2"/>
    <s v="June"/>
    <x v="1"/>
    <x v="3"/>
    <n v="945055"/>
    <x v="3"/>
    <s v="No"/>
  </r>
  <r>
    <s v="2020-07-02"/>
    <x v="5"/>
    <x v="2"/>
    <s v="July"/>
    <x v="1"/>
    <x v="0"/>
    <n v="1246308"/>
    <x v="4"/>
    <s v="No"/>
  </r>
  <r>
    <s v="2020-07-02"/>
    <x v="1"/>
    <x v="2"/>
    <s v="July"/>
    <x v="1"/>
    <x v="0"/>
    <n v="1500441"/>
    <x v="4"/>
    <s v="No"/>
  </r>
  <r>
    <s v="2020-07-07"/>
    <x v="1"/>
    <x v="2"/>
    <s v="July"/>
    <x v="1"/>
    <x v="0"/>
    <n v="1009099"/>
    <x v="4"/>
    <s v="No"/>
  </r>
  <r>
    <s v="2020-07-08"/>
    <x v="5"/>
    <x v="2"/>
    <s v="July"/>
    <x v="1"/>
    <x v="0"/>
    <n v="466491"/>
    <x v="4"/>
    <s v="No"/>
  </r>
  <r>
    <s v="2020-07-09"/>
    <x v="5"/>
    <x v="0"/>
    <s v="July"/>
    <x v="1"/>
    <x v="0"/>
    <n v="1193385"/>
    <x v="4"/>
    <s v="No"/>
  </r>
  <r>
    <s v="2020-07-10"/>
    <x v="5"/>
    <x v="2"/>
    <s v="July"/>
    <x v="1"/>
    <x v="0"/>
    <n v="625849"/>
    <x v="4"/>
    <s v="No"/>
  </r>
  <r>
    <s v="2020-07-19"/>
    <x v="1"/>
    <x v="2"/>
    <s v="July"/>
    <x v="1"/>
    <x v="0"/>
    <n v="796233"/>
    <x v="4"/>
    <s v="No"/>
  </r>
  <r>
    <s v="2020-07-20"/>
    <x v="5"/>
    <x v="2"/>
    <s v="July"/>
    <x v="1"/>
    <x v="0"/>
    <n v="1820445"/>
    <x v="4"/>
    <s v="No"/>
  </r>
  <r>
    <s v="2020-07-22"/>
    <x v="5"/>
    <x v="2"/>
    <s v="July"/>
    <x v="1"/>
    <x v="0"/>
    <n v="1813892"/>
    <x v="4"/>
    <s v="No"/>
  </r>
  <r>
    <s v="2020-07-23"/>
    <x v="1"/>
    <x v="0"/>
    <s v="July"/>
    <x v="1"/>
    <x v="0"/>
    <n v="164169"/>
    <x v="4"/>
    <s v="No"/>
  </r>
  <r>
    <s v="2020-07-29"/>
    <x v="1"/>
    <x v="2"/>
    <s v="July"/>
    <x v="1"/>
    <x v="0"/>
    <n v="512670"/>
    <x v="4"/>
    <s v="No"/>
  </r>
  <r>
    <s v="2020-08-01"/>
    <x v="1"/>
    <x v="0"/>
    <s v="August"/>
    <x v="1"/>
    <x v="0"/>
    <n v="651065"/>
    <x v="4"/>
    <s v="No"/>
  </r>
  <r>
    <s v="2020-08-02"/>
    <x v="1"/>
    <x v="0"/>
    <s v="August"/>
    <x v="1"/>
    <x v="0"/>
    <n v="718481"/>
    <x v="4"/>
    <s v="No"/>
  </r>
  <r>
    <s v="2020-08-06"/>
    <x v="5"/>
    <x v="0"/>
    <s v="August"/>
    <x v="1"/>
    <x v="0"/>
    <n v="1447439"/>
    <x v="4"/>
    <s v="No"/>
  </r>
  <r>
    <s v="2020-08-07"/>
    <x v="5"/>
    <x v="0"/>
    <s v="August"/>
    <x v="1"/>
    <x v="0"/>
    <n v="1780271"/>
    <x v="4"/>
    <s v="No"/>
  </r>
  <r>
    <s v="2020-08-09"/>
    <x v="5"/>
    <x v="2"/>
    <s v="August"/>
    <x v="1"/>
    <x v="0"/>
    <n v="1045298"/>
    <x v="4"/>
    <s v="No"/>
  </r>
  <r>
    <s v="2020-08-09"/>
    <x v="5"/>
    <x v="0"/>
    <s v="August"/>
    <x v="1"/>
    <x v="0"/>
    <n v="892802"/>
    <x v="4"/>
    <s v="No"/>
  </r>
  <r>
    <s v="2020-08-10"/>
    <x v="1"/>
    <x v="0"/>
    <s v="August"/>
    <x v="1"/>
    <x v="0"/>
    <n v="423820"/>
    <x v="4"/>
    <s v="No"/>
  </r>
  <r>
    <s v="2020-08-11"/>
    <x v="1"/>
    <x v="0"/>
    <s v="August"/>
    <x v="1"/>
    <x v="0"/>
    <n v="1046614"/>
    <x v="4"/>
    <s v="No"/>
  </r>
  <r>
    <s v="2020-08-15"/>
    <x v="1"/>
    <x v="0"/>
    <s v="August"/>
    <x v="1"/>
    <x v="0"/>
    <n v="1043729"/>
    <x v="4"/>
    <s v="No"/>
  </r>
  <r>
    <s v="2020-08-15"/>
    <x v="1"/>
    <x v="0"/>
    <s v="August"/>
    <x v="1"/>
    <x v="0"/>
    <n v="1922617"/>
    <x v="4"/>
    <s v="No"/>
  </r>
  <r>
    <s v="2020-08-16"/>
    <x v="5"/>
    <x v="0"/>
    <s v="August"/>
    <x v="1"/>
    <x v="0"/>
    <n v="1423294"/>
    <x v="4"/>
    <s v="No"/>
  </r>
  <r>
    <s v="2020-08-17"/>
    <x v="5"/>
    <x v="1"/>
    <s v="August"/>
    <x v="1"/>
    <x v="0"/>
    <n v="1852090"/>
    <x v="4"/>
    <s v="No"/>
  </r>
  <r>
    <s v="2020-08-21"/>
    <x v="5"/>
    <x v="1"/>
    <s v="August"/>
    <x v="1"/>
    <x v="0"/>
    <n v="1725787"/>
    <x v="4"/>
    <s v="No"/>
  </r>
  <r>
    <s v="2020-08-22"/>
    <x v="5"/>
    <x v="1"/>
    <s v="August"/>
    <x v="1"/>
    <x v="0"/>
    <n v="1441497"/>
    <x v="4"/>
    <s v="No"/>
  </r>
  <r>
    <s v="2020-08-24"/>
    <x v="5"/>
    <x v="1"/>
    <s v="August"/>
    <x v="1"/>
    <x v="0"/>
    <n v="833493"/>
    <x v="4"/>
    <s v="No"/>
  </r>
  <r>
    <s v="2020-08-27"/>
    <x v="1"/>
    <x v="1"/>
    <s v="August"/>
    <x v="1"/>
    <x v="0"/>
    <n v="521666"/>
    <x v="4"/>
    <s v="No"/>
  </r>
  <r>
    <s v="2020-08-30"/>
    <x v="5"/>
    <x v="1"/>
    <s v="August"/>
    <x v="1"/>
    <x v="0"/>
    <n v="1577468"/>
    <x v="4"/>
    <s v="No"/>
  </r>
  <r>
    <s v="2020-09-01"/>
    <x v="5"/>
    <x v="1"/>
    <s v="September"/>
    <x v="1"/>
    <x v="0"/>
    <n v="1067087"/>
    <x v="4"/>
    <s v="No"/>
  </r>
  <r>
    <s v="2020-09-02"/>
    <x v="5"/>
    <x v="1"/>
    <s v="September"/>
    <x v="1"/>
    <x v="0"/>
    <n v="1317235"/>
    <x v="4"/>
    <s v="No"/>
  </r>
  <r>
    <s v="2020-09-03"/>
    <x v="5"/>
    <x v="0"/>
    <s v="September"/>
    <x v="1"/>
    <x v="0"/>
    <n v="1643988"/>
    <x v="4"/>
    <s v="No"/>
  </r>
  <r>
    <s v="2020-09-06"/>
    <x v="5"/>
    <x v="1"/>
    <s v="September"/>
    <x v="1"/>
    <x v="0"/>
    <n v="1924235"/>
    <x v="4"/>
    <s v="No"/>
  </r>
  <r>
    <s v="2020-09-08"/>
    <x v="5"/>
    <x v="1"/>
    <s v="September"/>
    <x v="1"/>
    <x v="0"/>
    <n v="573419"/>
    <x v="4"/>
    <s v="No"/>
  </r>
  <r>
    <s v="2020-09-08"/>
    <x v="1"/>
    <x v="2"/>
    <s v="September"/>
    <x v="1"/>
    <x v="0"/>
    <n v="1091814"/>
    <x v="4"/>
    <s v="No"/>
  </r>
  <r>
    <s v="2020-09-09"/>
    <x v="1"/>
    <x v="2"/>
    <s v="September"/>
    <x v="1"/>
    <x v="0"/>
    <n v="138386"/>
    <x v="4"/>
    <s v="No"/>
  </r>
  <r>
    <s v="2020-09-09"/>
    <x v="5"/>
    <x v="2"/>
    <s v="September"/>
    <x v="1"/>
    <x v="0"/>
    <n v="1343979"/>
    <x v="4"/>
    <s v="No"/>
  </r>
  <r>
    <s v="2020-09-09"/>
    <x v="5"/>
    <x v="2"/>
    <s v="September"/>
    <x v="1"/>
    <x v="0"/>
    <n v="1897685"/>
    <x v="4"/>
    <s v="No"/>
  </r>
  <r>
    <s v="2020-09-09"/>
    <x v="5"/>
    <x v="2"/>
    <s v="September"/>
    <x v="1"/>
    <x v="0"/>
    <n v="1216179"/>
    <x v="4"/>
    <s v="No"/>
  </r>
  <r>
    <s v="2020-09-09"/>
    <x v="5"/>
    <x v="2"/>
    <s v="September"/>
    <x v="1"/>
    <x v="0"/>
    <n v="460067"/>
    <x v="4"/>
    <s v="No"/>
  </r>
  <r>
    <s v="2020-09-11"/>
    <x v="5"/>
    <x v="2"/>
    <s v="September"/>
    <x v="1"/>
    <x v="0"/>
    <n v="1288399"/>
    <x v="4"/>
    <s v="No"/>
  </r>
  <r>
    <s v="2020-09-15"/>
    <x v="5"/>
    <x v="2"/>
    <s v="September"/>
    <x v="1"/>
    <x v="0"/>
    <n v="1715151"/>
    <x v="4"/>
    <s v="No"/>
  </r>
  <r>
    <s v="2020-09-16"/>
    <x v="1"/>
    <x v="0"/>
    <s v="September"/>
    <x v="1"/>
    <x v="0"/>
    <n v="719167"/>
    <x v="4"/>
    <s v="No"/>
  </r>
  <r>
    <s v="2020-09-16"/>
    <x v="1"/>
    <x v="1"/>
    <s v="September"/>
    <x v="1"/>
    <x v="0"/>
    <n v="1033758"/>
    <x v="4"/>
    <s v="No"/>
  </r>
  <r>
    <s v="2020-09-18"/>
    <x v="1"/>
    <x v="3"/>
    <s v="September"/>
    <x v="1"/>
    <x v="0"/>
    <n v="135507"/>
    <x v="4"/>
    <s v="No"/>
  </r>
  <r>
    <s v="2020-09-20"/>
    <x v="1"/>
    <x v="3"/>
    <s v="September"/>
    <x v="1"/>
    <x v="0"/>
    <n v="767926"/>
    <x v="4"/>
    <s v="No"/>
  </r>
  <r>
    <s v="2020-09-24"/>
    <x v="1"/>
    <x v="3"/>
    <s v="September"/>
    <x v="1"/>
    <x v="0"/>
    <n v="844112"/>
    <x v="4"/>
    <s v="No"/>
  </r>
  <r>
    <s v="2020-09-24"/>
    <x v="1"/>
    <x v="3"/>
    <s v="September"/>
    <x v="1"/>
    <x v="0"/>
    <n v="957901"/>
    <x v="4"/>
    <s v="No"/>
  </r>
  <r>
    <s v="2020-09-24"/>
    <x v="1"/>
    <x v="2"/>
    <s v="September"/>
    <x v="1"/>
    <x v="0"/>
    <n v="1480514"/>
    <x v="4"/>
    <s v="No"/>
  </r>
  <r>
    <s v="2020-09-25"/>
    <x v="1"/>
    <x v="2"/>
    <s v="September"/>
    <x v="1"/>
    <x v="0"/>
    <n v="258649"/>
    <x v="4"/>
    <s v="No"/>
  </r>
  <r>
    <s v="2020-09-26"/>
    <x v="1"/>
    <x v="2"/>
    <s v="September"/>
    <x v="1"/>
    <x v="0"/>
    <n v="207556"/>
    <x v="4"/>
    <s v="No"/>
  </r>
  <r>
    <s v="2020-09-27"/>
    <x v="1"/>
    <x v="2"/>
    <s v="September"/>
    <x v="1"/>
    <x v="0"/>
    <n v="1872294"/>
    <x v="4"/>
    <s v="No"/>
  </r>
  <r>
    <s v="2020-09-27"/>
    <x v="5"/>
    <x v="2"/>
    <s v="September"/>
    <x v="1"/>
    <x v="0"/>
    <n v="627691"/>
    <x v="4"/>
    <s v="No"/>
  </r>
  <r>
    <s v="2020-09-28"/>
    <x v="5"/>
    <x v="0"/>
    <s v="September"/>
    <x v="1"/>
    <x v="0"/>
    <n v="763764"/>
    <x v="4"/>
    <s v="No"/>
  </r>
  <r>
    <s v="2020-09-28"/>
    <x v="5"/>
    <x v="0"/>
    <s v="September"/>
    <x v="1"/>
    <x v="0"/>
    <n v="1450975"/>
    <x v="4"/>
    <s v="No"/>
  </r>
  <r>
    <s v="2020-09-29"/>
    <x v="5"/>
    <x v="0"/>
    <s v="September"/>
    <x v="1"/>
    <x v="0"/>
    <n v="666926"/>
    <x v="4"/>
    <s v="No"/>
  </r>
  <r>
    <s v="2020-09-30"/>
    <x v="5"/>
    <x v="0"/>
    <s v="September"/>
    <x v="1"/>
    <x v="0"/>
    <n v="607578"/>
    <x v="4"/>
    <s v="No"/>
  </r>
  <r>
    <s v="2020-10-07"/>
    <x v="5"/>
    <x v="0"/>
    <s v="October"/>
    <x v="1"/>
    <x v="1"/>
    <n v="263657"/>
    <x v="5"/>
    <s v="No"/>
  </r>
  <r>
    <s v="2020-10-07"/>
    <x v="1"/>
    <x v="0"/>
    <s v="October"/>
    <x v="1"/>
    <x v="1"/>
    <n v="459636"/>
    <x v="5"/>
    <s v="No"/>
  </r>
  <r>
    <s v="2020-10-08"/>
    <x v="5"/>
    <x v="0"/>
    <s v="October"/>
    <x v="1"/>
    <x v="1"/>
    <n v="320320"/>
    <x v="5"/>
    <s v="No"/>
  </r>
  <r>
    <s v="2020-10-08"/>
    <x v="5"/>
    <x v="0"/>
    <s v="October"/>
    <x v="1"/>
    <x v="1"/>
    <n v="613065"/>
    <x v="5"/>
    <s v="No"/>
  </r>
  <r>
    <s v="2020-10-08"/>
    <x v="5"/>
    <x v="0"/>
    <s v="October"/>
    <x v="1"/>
    <x v="1"/>
    <n v="1857433"/>
    <x v="5"/>
    <s v="No"/>
  </r>
  <r>
    <s v="2020-10-09"/>
    <x v="5"/>
    <x v="0"/>
    <s v="October"/>
    <x v="1"/>
    <x v="1"/>
    <n v="1984820"/>
    <x v="5"/>
    <s v="No"/>
  </r>
  <r>
    <s v="2020-10-09"/>
    <x v="5"/>
    <x v="0"/>
    <s v="October"/>
    <x v="1"/>
    <x v="1"/>
    <n v="1915029"/>
    <x v="5"/>
    <s v="No"/>
  </r>
  <r>
    <s v="2020-10-09"/>
    <x v="1"/>
    <x v="0"/>
    <s v="October"/>
    <x v="1"/>
    <x v="1"/>
    <n v="1185740"/>
    <x v="5"/>
    <s v="No"/>
  </r>
  <r>
    <s v="2020-10-10"/>
    <x v="5"/>
    <x v="0"/>
    <s v="October"/>
    <x v="1"/>
    <x v="1"/>
    <n v="190228"/>
    <x v="5"/>
    <s v="No"/>
  </r>
  <r>
    <s v="2020-10-12"/>
    <x v="5"/>
    <x v="0"/>
    <s v="October"/>
    <x v="1"/>
    <x v="1"/>
    <n v="854982"/>
    <x v="5"/>
    <s v="No"/>
  </r>
  <r>
    <s v="2020-10-12"/>
    <x v="5"/>
    <x v="0"/>
    <s v="October"/>
    <x v="1"/>
    <x v="1"/>
    <n v="1796239"/>
    <x v="5"/>
    <s v="No"/>
  </r>
  <r>
    <s v="2020-10-14"/>
    <x v="1"/>
    <x v="0"/>
    <s v="October"/>
    <x v="1"/>
    <x v="1"/>
    <n v="1543421"/>
    <x v="5"/>
    <s v="No"/>
  </r>
  <r>
    <s v="2020-10-15"/>
    <x v="5"/>
    <x v="0"/>
    <s v="October"/>
    <x v="1"/>
    <x v="1"/>
    <n v="885070"/>
    <x v="5"/>
    <s v="No"/>
  </r>
  <r>
    <s v="2020-10-18"/>
    <x v="5"/>
    <x v="2"/>
    <s v="October"/>
    <x v="1"/>
    <x v="1"/>
    <n v="1430813"/>
    <x v="5"/>
    <s v="No"/>
  </r>
  <r>
    <s v="2020-10-22"/>
    <x v="5"/>
    <x v="2"/>
    <s v="October"/>
    <x v="1"/>
    <x v="1"/>
    <n v="1493035"/>
    <x v="5"/>
    <s v="No"/>
  </r>
  <r>
    <s v="2020-10-24"/>
    <x v="1"/>
    <x v="2"/>
    <s v="October"/>
    <x v="1"/>
    <x v="1"/>
    <n v="627891"/>
    <x v="5"/>
    <s v="No"/>
  </r>
  <r>
    <s v="2020-10-24"/>
    <x v="5"/>
    <x v="2"/>
    <s v="October"/>
    <x v="1"/>
    <x v="1"/>
    <n v="1299104"/>
    <x v="5"/>
    <s v="No"/>
  </r>
  <r>
    <s v="2020-10-24"/>
    <x v="5"/>
    <x v="2"/>
    <s v="October"/>
    <x v="1"/>
    <x v="1"/>
    <n v="187737"/>
    <x v="5"/>
    <s v="No"/>
  </r>
  <r>
    <s v="2020-10-24"/>
    <x v="5"/>
    <x v="1"/>
    <s v="October"/>
    <x v="1"/>
    <x v="1"/>
    <n v="1495932"/>
    <x v="5"/>
    <s v="No"/>
  </r>
  <r>
    <s v="2020-10-26"/>
    <x v="5"/>
    <x v="1"/>
    <s v="October"/>
    <x v="1"/>
    <x v="1"/>
    <n v="1262023"/>
    <x v="5"/>
    <s v="No"/>
  </r>
  <r>
    <s v="2020-10-28"/>
    <x v="5"/>
    <x v="1"/>
    <s v="October"/>
    <x v="1"/>
    <x v="1"/>
    <n v="502801"/>
    <x v="5"/>
    <s v="No"/>
  </r>
  <r>
    <s v="2020-10-28"/>
    <x v="1"/>
    <x v="1"/>
    <s v="October"/>
    <x v="1"/>
    <x v="1"/>
    <n v="394071"/>
    <x v="5"/>
    <s v="No"/>
  </r>
  <r>
    <s v="2020-10-29"/>
    <x v="5"/>
    <x v="1"/>
    <s v="October"/>
    <x v="1"/>
    <x v="1"/>
    <n v="804016"/>
    <x v="5"/>
    <s v="No"/>
  </r>
  <r>
    <s v="2020-10-29"/>
    <x v="5"/>
    <x v="1"/>
    <s v="October"/>
    <x v="1"/>
    <x v="1"/>
    <n v="215991"/>
    <x v="5"/>
    <s v="No"/>
  </r>
  <r>
    <s v="2020-10-30"/>
    <x v="5"/>
    <x v="1"/>
    <s v="October"/>
    <x v="1"/>
    <x v="1"/>
    <n v="1570949"/>
    <x v="5"/>
    <s v="No"/>
  </r>
  <r>
    <s v="2020-10-31"/>
    <x v="5"/>
    <x v="1"/>
    <s v="October"/>
    <x v="1"/>
    <x v="1"/>
    <n v="1220013"/>
    <x v="5"/>
    <s v="No"/>
  </r>
  <r>
    <s v="2020-11-01"/>
    <x v="5"/>
    <x v="1"/>
    <s v="November"/>
    <x v="1"/>
    <x v="1"/>
    <n v="1469859"/>
    <x v="5"/>
    <s v="No"/>
  </r>
  <r>
    <s v="2020-11-04"/>
    <x v="1"/>
    <x v="0"/>
    <s v="November"/>
    <x v="1"/>
    <x v="1"/>
    <n v="1353627"/>
    <x v="5"/>
    <s v="No"/>
  </r>
  <r>
    <s v="2020-11-05"/>
    <x v="5"/>
    <x v="0"/>
    <s v="November"/>
    <x v="1"/>
    <x v="1"/>
    <n v="556058"/>
    <x v="5"/>
    <s v="No"/>
  </r>
  <r>
    <s v="2020-11-11"/>
    <x v="5"/>
    <x v="0"/>
    <s v="November"/>
    <x v="1"/>
    <x v="1"/>
    <n v="853969"/>
    <x v="5"/>
    <s v="No"/>
  </r>
  <r>
    <s v="2020-11-13"/>
    <x v="5"/>
    <x v="0"/>
    <s v="November"/>
    <x v="1"/>
    <x v="1"/>
    <n v="963277"/>
    <x v="5"/>
    <s v="No"/>
  </r>
  <r>
    <s v="2020-11-14"/>
    <x v="5"/>
    <x v="0"/>
    <s v="November"/>
    <x v="1"/>
    <x v="1"/>
    <n v="131530"/>
    <x v="5"/>
    <s v="No"/>
  </r>
  <r>
    <s v="2020-11-14"/>
    <x v="1"/>
    <x v="0"/>
    <s v="November"/>
    <x v="1"/>
    <x v="1"/>
    <n v="1617203"/>
    <x v="5"/>
    <s v="No"/>
  </r>
  <r>
    <s v="2020-11-15"/>
    <x v="5"/>
    <x v="0"/>
    <s v="November"/>
    <x v="1"/>
    <x v="1"/>
    <n v="1011247"/>
    <x v="5"/>
    <s v="No"/>
  </r>
  <r>
    <s v="2020-11-17"/>
    <x v="5"/>
    <x v="0"/>
    <s v="November"/>
    <x v="1"/>
    <x v="1"/>
    <n v="1204392"/>
    <x v="5"/>
    <s v="No"/>
  </r>
  <r>
    <s v="2020-11-19"/>
    <x v="5"/>
    <x v="0"/>
    <s v="November"/>
    <x v="1"/>
    <x v="1"/>
    <n v="1274084"/>
    <x v="5"/>
    <s v="No"/>
  </r>
  <r>
    <s v="2020-11-25"/>
    <x v="5"/>
    <x v="0"/>
    <s v="November"/>
    <x v="1"/>
    <x v="1"/>
    <n v="1892281"/>
    <x v="5"/>
    <s v="No"/>
  </r>
  <r>
    <s v="2020-11-25"/>
    <x v="1"/>
    <x v="0"/>
    <s v="November"/>
    <x v="1"/>
    <x v="1"/>
    <n v="835570"/>
    <x v="5"/>
    <s v="No"/>
  </r>
  <r>
    <s v="2020-11-29"/>
    <x v="5"/>
    <x v="1"/>
    <s v="November"/>
    <x v="1"/>
    <x v="1"/>
    <n v="666449"/>
    <x v="5"/>
    <s v="No"/>
  </r>
  <r>
    <s v="2020-11-29"/>
    <x v="5"/>
    <x v="1"/>
    <s v="November"/>
    <x v="1"/>
    <x v="1"/>
    <n v="892634"/>
    <x v="5"/>
    <s v="No"/>
  </r>
  <r>
    <s v="2020-12-05"/>
    <x v="5"/>
    <x v="1"/>
    <s v="December"/>
    <x v="1"/>
    <x v="1"/>
    <n v="695542"/>
    <x v="5"/>
    <s v="No"/>
  </r>
  <r>
    <s v="2020-12-07"/>
    <x v="5"/>
    <x v="1"/>
    <s v="December"/>
    <x v="1"/>
    <x v="1"/>
    <n v="1702209"/>
    <x v="5"/>
    <s v="No"/>
  </r>
  <r>
    <s v="2020-12-07"/>
    <x v="1"/>
    <x v="1"/>
    <s v="December"/>
    <x v="1"/>
    <x v="1"/>
    <n v="1791580"/>
    <x v="5"/>
    <s v="No"/>
  </r>
  <r>
    <s v="2020-12-08"/>
    <x v="5"/>
    <x v="1"/>
    <s v="December"/>
    <x v="1"/>
    <x v="1"/>
    <n v="347363"/>
    <x v="5"/>
    <s v="No"/>
  </r>
  <r>
    <s v="2020-12-10"/>
    <x v="5"/>
    <x v="1"/>
    <s v="December"/>
    <x v="1"/>
    <x v="1"/>
    <n v="827703"/>
    <x v="5"/>
    <s v="No"/>
  </r>
  <r>
    <s v="2020-12-12"/>
    <x v="5"/>
    <x v="1"/>
    <s v="December"/>
    <x v="1"/>
    <x v="1"/>
    <n v="523321"/>
    <x v="5"/>
    <s v="No"/>
  </r>
  <r>
    <s v="2020-12-13"/>
    <x v="5"/>
    <x v="0"/>
    <s v="December"/>
    <x v="1"/>
    <x v="1"/>
    <n v="382282"/>
    <x v="5"/>
    <s v="No"/>
  </r>
  <r>
    <s v="2020-12-14"/>
    <x v="1"/>
    <x v="0"/>
    <s v="December"/>
    <x v="1"/>
    <x v="1"/>
    <n v="1194439"/>
    <x v="5"/>
    <s v="No"/>
  </r>
  <r>
    <s v="2020-12-14"/>
    <x v="5"/>
    <x v="1"/>
    <s v="December"/>
    <x v="1"/>
    <x v="1"/>
    <n v="1491139"/>
    <x v="5"/>
    <s v="No"/>
  </r>
  <r>
    <s v="2020-12-15"/>
    <x v="5"/>
    <x v="1"/>
    <s v="December"/>
    <x v="1"/>
    <x v="1"/>
    <n v="474648"/>
    <x v="5"/>
    <s v="No"/>
  </r>
  <r>
    <s v="2020-12-17"/>
    <x v="5"/>
    <x v="1"/>
    <s v="December"/>
    <x v="1"/>
    <x v="1"/>
    <n v="1892480"/>
    <x v="5"/>
    <s v="No"/>
  </r>
  <r>
    <s v="2020-12-17"/>
    <x v="1"/>
    <x v="1"/>
    <s v="December"/>
    <x v="1"/>
    <x v="1"/>
    <n v="1145606"/>
    <x v="5"/>
    <s v="No"/>
  </r>
  <r>
    <s v="2020-12-18"/>
    <x v="5"/>
    <x v="2"/>
    <s v="December"/>
    <x v="1"/>
    <x v="1"/>
    <n v="1464846"/>
    <x v="5"/>
    <s v="No"/>
  </r>
  <r>
    <s v="2020-12-20"/>
    <x v="5"/>
    <x v="1"/>
    <s v="December"/>
    <x v="1"/>
    <x v="1"/>
    <n v="1948107"/>
    <x v="5"/>
    <s v="No"/>
  </r>
  <r>
    <s v="2020-12-21"/>
    <x v="1"/>
    <x v="0"/>
    <s v="December"/>
    <x v="1"/>
    <x v="1"/>
    <n v="1428796"/>
    <x v="5"/>
    <s v="No"/>
  </r>
  <r>
    <s v="2020-12-22"/>
    <x v="1"/>
    <x v="0"/>
    <s v="December"/>
    <x v="1"/>
    <x v="1"/>
    <n v="940449"/>
    <x v="5"/>
    <s v="No"/>
  </r>
  <r>
    <s v="2020-12-28"/>
    <x v="1"/>
    <x v="0"/>
    <s v="December"/>
    <x v="1"/>
    <x v="1"/>
    <n v="1318642"/>
    <x v="5"/>
    <s v="No"/>
  </r>
  <r>
    <s v="2020-12-28"/>
    <x v="1"/>
    <x v="0"/>
    <s v="December"/>
    <x v="1"/>
    <x v="1"/>
    <n v="477764"/>
    <x v="5"/>
    <s v="No"/>
  </r>
  <r>
    <s v="2021-01-03"/>
    <x v="0"/>
    <x v="0"/>
    <s v="January"/>
    <x v="2"/>
    <x v="2"/>
    <n v="1704016"/>
    <x v="6"/>
    <s v="No"/>
  </r>
  <r>
    <s v="2021-01-04"/>
    <x v="0"/>
    <x v="0"/>
    <s v="January"/>
    <x v="2"/>
    <x v="2"/>
    <n v="544052"/>
    <x v="6"/>
    <s v="No"/>
  </r>
  <r>
    <s v="2021-01-04"/>
    <x v="0"/>
    <x v="0"/>
    <s v="January"/>
    <x v="2"/>
    <x v="2"/>
    <n v="1353314"/>
    <x v="6"/>
    <s v="No"/>
  </r>
  <r>
    <s v="2021-01-06"/>
    <x v="0"/>
    <x v="0"/>
    <s v="January"/>
    <x v="2"/>
    <x v="2"/>
    <n v="700516"/>
    <x v="6"/>
    <s v="No"/>
  </r>
  <r>
    <s v="2021-01-07"/>
    <x v="0"/>
    <x v="0"/>
    <s v="January"/>
    <x v="2"/>
    <x v="2"/>
    <n v="375582"/>
    <x v="6"/>
    <s v="No"/>
  </r>
  <r>
    <s v="2021-01-09"/>
    <x v="0"/>
    <x v="2"/>
    <s v="January"/>
    <x v="2"/>
    <x v="2"/>
    <n v="1288724"/>
    <x v="6"/>
    <s v="No"/>
  </r>
  <r>
    <s v="2021-01-12"/>
    <x v="0"/>
    <x v="0"/>
    <s v="January"/>
    <x v="2"/>
    <x v="2"/>
    <n v="1109243"/>
    <x v="6"/>
    <s v="No"/>
  </r>
  <r>
    <s v="2021-01-15"/>
    <x v="0"/>
    <x v="2"/>
    <s v="January"/>
    <x v="2"/>
    <x v="2"/>
    <n v="1346386"/>
    <x v="6"/>
    <s v="No"/>
  </r>
  <r>
    <s v="2021-01-15"/>
    <x v="0"/>
    <x v="2"/>
    <s v="January"/>
    <x v="2"/>
    <x v="2"/>
    <n v="244146"/>
    <x v="6"/>
    <s v="No"/>
  </r>
  <r>
    <s v="2021-01-16"/>
    <x v="0"/>
    <x v="2"/>
    <s v="January"/>
    <x v="2"/>
    <x v="2"/>
    <n v="971479"/>
    <x v="6"/>
    <s v="No"/>
  </r>
  <r>
    <s v="2021-01-16"/>
    <x v="0"/>
    <x v="2"/>
    <s v="January"/>
    <x v="2"/>
    <x v="2"/>
    <n v="917273"/>
    <x v="6"/>
    <s v="No"/>
  </r>
  <r>
    <s v="2021-01-16"/>
    <x v="0"/>
    <x v="2"/>
    <s v="January"/>
    <x v="2"/>
    <x v="2"/>
    <n v="679070"/>
    <x v="6"/>
    <s v="No"/>
  </r>
  <r>
    <s v="2021-01-18"/>
    <x v="0"/>
    <x v="2"/>
    <s v="January"/>
    <x v="2"/>
    <x v="2"/>
    <n v="221856"/>
    <x v="6"/>
    <s v="No"/>
  </r>
  <r>
    <s v="2021-01-19"/>
    <x v="0"/>
    <x v="2"/>
    <s v="January"/>
    <x v="2"/>
    <x v="2"/>
    <n v="1297881"/>
    <x v="6"/>
    <s v="No"/>
  </r>
  <r>
    <s v="2021-01-21"/>
    <x v="0"/>
    <x v="2"/>
    <s v="January"/>
    <x v="2"/>
    <x v="2"/>
    <n v="1306013"/>
    <x v="6"/>
    <s v="No"/>
  </r>
  <r>
    <s v="2021-01-23"/>
    <x v="0"/>
    <x v="2"/>
    <s v="January"/>
    <x v="2"/>
    <x v="2"/>
    <n v="1721224"/>
    <x v="6"/>
    <s v="No"/>
  </r>
  <r>
    <s v="2021-01-24"/>
    <x v="0"/>
    <x v="2"/>
    <s v="January"/>
    <x v="2"/>
    <x v="2"/>
    <n v="1179789"/>
    <x v="6"/>
    <s v="No"/>
  </r>
  <r>
    <s v="2021-01-25"/>
    <x v="0"/>
    <x v="2"/>
    <s v="January"/>
    <x v="2"/>
    <x v="2"/>
    <n v="301911"/>
    <x v="6"/>
    <s v="No"/>
  </r>
  <r>
    <s v="2021-01-26"/>
    <x v="0"/>
    <x v="2"/>
    <s v="January"/>
    <x v="2"/>
    <x v="2"/>
    <n v="1309375"/>
    <x v="6"/>
    <s v="No"/>
  </r>
  <r>
    <s v="2021-01-26"/>
    <x v="0"/>
    <x v="2"/>
    <s v="January"/>
    <x v="2"/>
    <x v="2"/>
    <n v="1156815"/>
    <x v="6"/>
    <s v="No"/>
  </r>
  <r>
    <s v="2021-01-27"/>
    <x v="0"/>
    <x v="2"/>
    <s v="January"/>
    <x v="2"/>
    <x v="2"/>
    <n v="152871"/>
    <x v="6"/>
    <s v="No"/>
  </r>
  <r>
    <s v="2021-01-27"/>
    <x v="0"/>
    <x v="2"/>
    <s v="January"/>
    <x v="2"/>
    <x v="2"/>
    <n v="1273013"/>
    <x v="6"/>
    <s v="No"/>
  </r>
  <r>
    <s v="2021-01-28"/>
    <x v="0"/>
    <x v="2"/>
    <s v="January"/>
    <x v="2"/>
    <x v="2"/>
    <n v="1741256"/>
    <x v="6"/>
    <s v="No"/>
  </r>
  <r>
    <s v="2021-01-31"/>
    <x v="0"/>
    <x v="2"/>
    <s v="January"/>
    <x v="2"/>
    <x v="2"/>
    <n v="965094"/>
    <x v="6"/>
    <s v="No"/>
  </r>
  <r>
    <s v="2021-02-01"/>
    <x v="0"/>
    <x v="2"/>
    <s v="February"/>
    <x v="2"/>
    <x v="2"/>
    <n v="1368470"/>
    <x v="6"/>
    <s v="No"/>
  </r>
  <r>
    <s v="2021-02-05"/>
    <x v="0"/>
    <x v="2"/>
    <s v="February"/>
    <x v="2"/>
    <x v="2"/>
    <n v="613889"/>
    <x v="6"/>
    <s v="No"/>
  </r>
  <r>
    <s v="2021-02-05"/>
    <x v="0"/>
    <x v="2"/>
    <s v="February"/>
    <x v="2"/>
    <x v="2"/>
    <n v="221918"/>
    <x v="6"/>
    <s v="No"/>
  </r>
  <r>
    <s v="2021-02-07"/>
    <x v="5"/>
    <x v="0"/>
    <s v="February"/>
    <x v="2"/>
    <x v="2"/>
    <n v="1279544"/>
    <x v="6"/>
    <s v="No"/>
  </r>
  <r>
    <s v="2021-02-07"/>
    <x v="5"/>
    <x v="0"/>
    <s v="February"/>
    <x v="2"/>
    <x v="2"/>
    <n v="922087"/>
    <x v="6"/>
    <s v="No"/>
  </r>
  <r>
    <s v="2021-02-07"/>
    <x v="5"/>
    <x v="0"/>
    <s v="February"/>
    <x v="2"/>
    <x v="2"/>
    <n v="1747049"/>
    <x v="6"/>
    <s v="No"/>
  </r>
  <r>
    <s v="2021-02-14"/>
    <x v="5"/>
    <x v="0"/>
    <s v="February"/>
    <x v="2"/>
    <x v="2"/>
    <n v="1626404"/>
    <x v="6"/>
    <s v="No"/>
  </r>
  <r>
    <s v="2021-02-17"/>
    <x v="5"/>
    <x v="0"/>
    <s v="February"/>
    <x v="2"/>
    <x v="2"/>
    <n v="716115"/>
    <x v="6"/>
    <s v="No"/>
  </r>
  <r>
    <s v="2021-02-17"/>
    <x v="5"/>
    <x v="0"/>
    <s v="February"/>
    <x v="2"/>
    <x v="2"/>
    <n v="1788068"/>
    <x v="6"/>
    <s v="No"/>
  </r>
  <r>
    <s v="2021-02-19"/>
    <x v="5"/>
    <x v="2"/>
    <s v="February"/>
    <x v="2"/>
    <x v="2"/>
    <n v="965181"/>
    <x v="6"/>
    <s v="No"/>
  </r>
  <r>
    <s v="2021-02-22"/>
    <x v="5"/>
    <x v="1"/>
    <s v="February"/>
    <x v="2"/>
    <x v="2"/>
    <n v="1919674"/>
    <x v="6"/>
    <s v="No"/>
  </r>
  <r>
    <s v="2021-02-23"/>
    <x v="5"/>
    <x v="0"/>
    <s v="February"/>
    <x v="2"/>
    <x v="2"/>
    <n v="710460"/>
    <x v="6"/>
    <s v="No"/>
  </r>
  <r>
    <s v="2021-02-24"/>
    <x v="5"/>
    <x v="0"/>
    <s v="February"/>
    <x v="2"/>
    <x v="2"/>
    <n v="1159050"/>
    <x v="6"/>
    <s v="No"/>
  </r>
  <r>
    <s v="2021-02-24"/>
    <x v="5"/>
    <x v="1"/>
    <s v="February"/>
    <x v="2"/>
    <x v="2"/>
    <n v="1553537"/>
    <x v="6"/>
    <s v="No"/>
  </r>
  <r>
    <s v="2021-03-02"/>
    <x v="5"/>
    <x v="1"/>
    <s v="March"/>
    <x v="2"/>
    <x v="2"/>
    <n v="867425"/>
    <x v="6"/>
    <s v="No"/>
  </r>
  <r>
    <s v="2021-03-02"/>
    <x v="5"/>
    <x v="1"/>
    <s v="March"/>
    <x v="2"/>
    <x v="2"/>
    <n v="867440"/>
    <x v="6"/>
    <s v="No"/>
  </r>
  <r>
    <s v="2021-03-03"/>
    <x v="5"/>
    <x v="1"/>
    <s v="March"/>
    <x v="2"/>
    <x v="2"/>
    <n v="449075"/>
    <x v="6"/>
    <s v="No"/>
  </r>
  <r>
    <s v="2021-03-04"/>
    <x v="5"/>
    <x v="1"/>
    <s v="March"/>
    <x v="2"/>
    <x v="2"/>
    <n v="1832972"/>
    <x v="6"/>
    <s v="No"/>
  </r>
  <r>
    <s v="2021-03-05"/>
    <x v="5"/>
    <x v="1"/>
    <s v="March"/>
    <x v="2"/>
    <x v="2"/>
    <n v="1813286"/>
    <x v="6"/>
    <s v="No"/>
  </r>
  <r>
    <s v="2021-03-07"/>
    <x v="5"/>
    <x v="1"/>
    <s v="March"/>
    <x v="2"/>
    <x v="2"/>
    <n v="1490096"/>
    <x v="6"/>
    <s v="No"/>
  </r>
  <r>
    <s v="2021-03-10"/>
    <x v="5"/>
    <x v="1"/>
    <s v="March"/>
    <x v="2"/>
    <x v="2"/>
    <n v="317729"/>
    <x v="6"/>
    <s v="No"/>
  </r>
  <r>
    <s v="2021-03-13"/>
    <x v="5"/>
    <x v="1"/>
    <s v="March"/>
    <x v="2"/>
    <x v="2"/>
    <n v="550392"/>
    <x v="6"/>
    <s v="No"/>
  </r>
  <r>
    <s v="2021-03-13"/>
    <x v="5"/>
    <x v="1"/>
    <s v="March"/>
    <x v="2"/>
    <x v="2"/>
    <n v="391155"/>
    <x v="6"/>
    <s v="No"/>
  </r>
  <r>
    <s v="2021-03-14"/>
    <x v="5"/>
    <x v="1"/>
    <s v="March"/>
    <x v="2"/>
    <x v="2"/>
    <n v="1019828"/>
    <x v="6"/>
    <s v="No"/>
  </r>
  <r>
    <s v="2021-03-17"/>
    <x v="5"/>
    <x v="0"/>
    <s v="March"/>
    <x v="2"/>
    <x v="2"/>
    <n v="653125"/>
    <x v="6"/>
    <s v="No"/>
  </r>
  <r>
    <s v="2021-03-19"/>
    <x v="5"/>
    <x v="0"/>
    <s v="March"/>
    <x v="2"/>
    <x v="2"/>
    <n v="653310"/>
    <x v="6"/>
    <s v="No"/>
  </r>
  <r>
    <s v="2021-03-22"/>
    <x v="5"/>
    <x v="0"/>
    <s v="March"/>
    <x v="2"/>
    <x v="2"/>
    <n v="704506"/>
    <x v="6"/>
    <s v="No"/>
  </r>
  <r>
    <s v="2021-03-25"/>
    <x v="5"/>
    <x v="0"/>
    <s v="March"/>
    <x v="2"/>
    <x v="2"/>
    <n v="310953"/>
    <x v="6"/>
    <s v="No"/>
  </r>
  <r>
    <s v="2021-03-26"/>
    <x v="5"/>
    <x v="0"/>
    <s v="March"/>
    <x v="2"/>
    <x v="2"/>
    <n v="237671"/>
    <x v="6"/>
    <s v="No"/>
  </r>
  <r>
    <s v="2021-03-28"/>
    <x v="3"/>
    <x v="2"/>
    <s v="March"/>
    <x v="2"/>
    <x v="2"/>
    <n v="552682"/>
    <x v="6"/>
    <s v="No"/>
  </r>
  <r>
    <s v="2021-03-28"/>
    <x v="3"/>
    <x v="0"/>
    <s v="March"/>
    <x v="2"/>
    <x v="2"/>
    <n v="923332"/>
    <x v="6"/>
    <s v="No"/>
  </r>
  <r>
    <s v="2021-03-30"/>
    <x v="3"/>
    <x v="0"/>
    <s v="March"/>
    <x v="2"/>
    <x v="2"/>
    <n v="845410"/>
    <x v="6"/>
    <s v="No"/>
  </r>
  <r>
    <s v="2021-04-01"/>
    <x v="3"/>
    <x v="0"/>
    <s v="April"/>
    <x v="2"/>
    <x v="2"/>
    <n v="473634"/>
    <x v="6"/>
    <s v="No"/>
  </r>
  <r>
    <s v="2021-04-02"/>
    <x v="3"/>
    <x v="0"/>
    <s v="April"/>
    <x v="2"/>
    <x v="2"/>
    <n v="742897"/>
    <x v="6"/>
    <s v="No"/>
  </r>
  <r>
    <s v="2021-04-02"/>
    <x v="3"/>
    <x v="0"/>
    <s v="April"/>
    <x v="2"/>
    <x v="2"/>
    <n v="1931479"/>
    <x v="6"/>
    <s v="No"/>
  </r>
  <r>
    <s v="2021-04-03"/>
    <x v="3"/>
    <x v="0"/>
    <s v="April"/>
    <x v="2"/>
    <x v="2"/>
    <n v="342611"/>
    <x v="6"/>
    <s v="No"/>
  </r>
  <r>
    <s v="2021-04-04"/>
    <x v="3"/>
    <x v="0"/>
    <s v="April"/>
    <x v="2"/>
    <x v="2"/>
    <n v="1208575"/>
    <x v="6"/>
    <s v="No"/>
  </r>
  <r>
    <s v="2021-04-05"/>
    <x v="3"/>
    <x v="0"/>
    <s v="April"/>
    <x v="2"/>
    <x v="2"/>
    <n v="1057025"/>
    <x v="6"/>
    <s v="No"/>
  </r>
  <r>
    <s v="2021-04-06"/>
    <x v="3"/>
    <x v="0"/>
    <s v="April"/>
    <x v="2"/>
    <x v="2"/>
    <n v="1721828"/>
    <x v="6"/>
    <s v="No"/>
  </r>
  <r>
    <s v="2021-04-07"/>
    <x v="3"/>
    <x v="0"/>
    <s v="April"/>
    <x v="2"/>
    <x v="2"/>
    <n v="635510"/>
    <x v="6"/>
    <s v="No"/>
  </r>
  <r>
    <s v="2021-04-09"/>
    <x v="3"/>
    <x v="1"/>
    <s v="April"/>
    <x v="2"/>
    <x v="2"/>
    <n v="741781"/>
    <x v="6"/>
    <s v="No"/>
  </r>
  <r>
    <s v="2021-04-10"/>
    <x v="3"/>
    <x v="1"/>
    <s v="April"/>
    <x v="2"/>
    <x v="2"/>
    <n v="775601"/>
    <x v="6"/>
    <s v="No"/>
  </r>
  <r>
    <s v="2021-04-10"/>
    <x v="3"/>
    <x v="1"/>
    <s v="April"/>
    <x v="2"/>
    <x v="2"/>
    <n v="750053"/>
    <x v="6"/>
    <s v="No"/>
  </r>
  <r>
    <s v="2021-04-10"/>
    <x v="3"/>
    <x v="1"/>
    <s v="April"/>
    <x v="2"/>
    <x v="2"/>
    <n v="772157"/>
    <x v="6"/>
    <s v="No"/>
  </r>
  <r>
    <s v="2021-04-10"/>
    <x v="3"/>
    <x v="1"/>
    <s v="April"/>
    <x v="2"/>
    <x v="2"/>
    <n v="1616031"/>
    <x v="6"/>
    <s v="No"/>
  </r>
  <r>
    <s v="2021-04-12"/>
    <x v="3"/>
    <x v="1"/>
    <s v="April"/>
    <x v="2"/>
    <x v="2"/>
    <n v="501597"/>
    <x v="6"/>
    <s v="No"/>
  </r>
  <r>
    <s v="2021-04-14"/>
    <x v="3"/>
    <x v="1"/>
    <s v="April"/>
    <x v="2"/>
    <x v="2"/>
    <n v="342694"/>
    <x v="6"/>
    <s v="No"/>
  </r>
  <r>
    <s v="2021-04-14"/>
    <x v="3"/>
    <x v="2"/>
    <s v="April"/>
    <x v="2"/>
    <x v="2"/>
    <n v="1471375"/>
    <x v="6"/>
    <s v="No"/>
  </r>
  <r>
    <s v="2021-04-15"/>
    <x v="3"/>
    <x v="1"/>
    <s v="April"/>
    <x v="2"/>
    <x v="2"/>
    <n v="1447654"/>
    <x v="6"/>
    <s v="No"/>
  </r>
  <r>
    <s v="2021-04-15"/>
    <x v="3"/>
    <x v="2"/>
    <s v="April"/>
    <x v="2"/>
    <x v="2"/>
    <n v="1138550"/>
    <x v="6"/>
    <s v="No"/>
  </r>
  <r>
    <s v="2021-04-16"/>
    <x v="3"/>
    <x v="2"/>
    <s v="April"/>
    <x v="2"/>
    <x v="2"/>
    <n v="126557"/>
    <x v="6"/>
    <s v="No"/>
  </r>
  <r>
    <s v="2021-04-17"/>
    <x v="3"/>
    <x v="2"/>
    <s v="April"/>
    <x v="2"/>
    <x v="2"/>
    <n v="1338180"/>
    <x v="6"/>
    <s v="No"/>
  </r>
  <r>
    <s v="2021-04-19"/>
    <x v="3"/>
    <x v="2"/>
    <s v="April"/>
    <x v="2"/>
    <x v="2"/>
    <n v="1482245"/>
    <x v="6"/>
    <s v="No"/>
  </r>
  <r>
    <s v="2021-04-22"/>
    <x v="3"/>
    <x v="2"/>
    <s v="April"/>
    <x v="2"/>
    <x v="2"/>
    <n v="1483781"/>
    <x v="6"/>
    <s v="No"/>
  </r>
  <r>
    <s v="2021-04-23"/>
    <x v="3"/>
    <x v="2"/>
    <s v="April"/>
    <x v="2"/>
    <x v="2"/>
    <n v="1291426"/>
    <x v="6"/>
    <s v="No"/>
  </r>
  <r>
    <s v="2021-04-24"/>
    <x v="3"/>
    <x v="2"/>
    <s v="April"/>
    <x v="2"/>
    <x v="2"/>
    <n v="494077"/>
    <x v="6"/>
    <s v="No"/>
  </r>
  <r>
    <s v="2021-04-26"/>
    <x v="4"/>
    <x v="2"/>
    <s v="April"/>
    <x v="2"/>
    <x v="2"/>
    <n v="244270"/>
    <x v="6"/>
    <s v="No"/>
  </r>
  <r>
    <s v="2021-04-27"/>
    <x v="4"/>
    <x v="2"/>
    <s v="April"/>
    <x v="2"/>
    <x v="2"/>
    <n v="202651"/>
    <x v="6"/>
    <s v="No"/>
  </r>
  <r>
    <s v="2021-04-28"/>
    <x v="4"/>
    <x v="3"/>
    <s v="April"/>
    <x v="2"/>
    <x v="2"/>
    <n v="1194863"/>
    <x v="6"/>
    <s v="No"/>
  </r>
  <r>
    <s v="2021-04-28"/>
    <x v="4"/>
    <x v="2"/>
    <s v="April"/>
    <x v="2"/>
    <x v="2"/>
    <n v="985177"/>
    <x v="6"/>
    <s v="No"/>
  </r>
  <r>
    <s v="2021-04-29"/>
    <x v="4"/>
    <x v="2"/>
    <s v="April"/>
    <x v="2"/>
    <x v="2"/>
    <n v="1612172"/>
    <x v="6"/>
    <s v="No"/>
  </r>
  <r>
    <s v="2021-04-29"/>
    <x v="4"/>
    <x v="2"/>
    <s v="April"/>
    <x v="2"/>
    <x v="2"/>
    <n v="362308"/>
    <x v="6"/>
    <s v="No"/>
  </r>
  <r>
    <s v="2021-04-30"/>
    <x v="4"/>
    <x v="2"/>
    <s v="April"/>
    <x v="2"/>
    <x v="2"/>
    <n v="1637925"/>
    <x v="6"/>
    <s v="No"/>
  </r>
  <r>
    <s v="2021-05-02"/>
    <x v="4"/>
    <x v="2"/>
    <s v="May"/>
    <x v="2"/>
    <x v="3"/>
    <n v="1112967"/>
    <x v="7"/>
    <s v="No"/>
  </r>
  <r>
    <s v="2021-05-04"/>
    <x v="4"/>
    <x v="2"/>
    <s v="May"/>
    <x v="2"/>
    <x v="3"/>
    <n v="236582"/>
    <x v="7"/>
    <s v="No"/>
  </r>
  <r>
    <s v="2021-05-05"/>
    <x v="4"/>
    <x v="2"/>
    <s v="May"/>
    <x v="2"/>
    <x v="3"/>
    <n v="690844"/>
    <x v="7"/>
    <s v="No"/>
  </r>
  <r>
    <s v="2021-05-08"/>
    <x v="4"/>
    <x v="1"/>
    <s v="May"/>
    <x v="2"/>
    <x v="3"/>
    <n v="1755000"/>
    <x v="7"/>
    <s v="No"/>
  </r>
  <r>
    <s v="2021-05-08"/>
    <x v="4"/>
    <x v="2"/>
    <s v="May"/>
    <x v="2"/>
    <x v="3"/>
    <n v="402346"/>
    <x v="7"/>
    <s v="No"/>
  </r>
  <r>
    <s v="2021-05-09"/>
    <x v="4"/>
    <x v="2"/>
    <s v="May"/>
    <x v="2"/>
    <x v="3"/>
    <n v="1960974"/>
    <x v="7"/>
    <s v="No"/>
  </r>
  <r>
    <s v="2021-05-10"/>
    <x v="4"/>
    <x v="2"/>
    <s v="May"/>
    <x v="2"/>
    <x v="3"/>
    <n v="1693451"/>
    <x v="7"/>
    <s v="No"/>
  </r>
  <r>
    <s v="2021-05-11"/>
    <x v="4"/>
    <x v="2"/>
    <s v="May"/>
    <x v="2"/>
    <x v="3"/>
    <n v="348204"/>
    <x v="7"/>
    <s v="No"/>
  </r>
  <r>
    <s v="2021-05-15"/>
    <x v="4"/>
    <x v="2"/>
    <s v="May"/>
    <x v="2"/>
    <x v="3"/>
    <n v="1603278"/>
    <x v="7"/>
    <s v="No"/>
  </r>
  <r>
    <s v="2021-05-16"/>
    <x v="4"/>
    <x v="2"/>
    <s v="May"/>
    <x v="2"/>
    <x v="3"/>
    <n v="1342342"/>
    <x v="7"/>
    <s v="No"/>
  </r>
  <r>
    <s v="2021-05-19"/>
    <x v="4"/>
    <x v="0"/>
    <s v="May"/>
    <x v="2"/>
    <x v="3"/>
    <n v="935490"/>
    <x v="7"/>
    <s v="No"/>
  </r>
  <r>
    <s v="2021-05-19"/>
    <x v="4"/>
    <x v="2"/>
    <s v="May"/>
    <x v="2"/>
    <x v="3"/>
    <n v="1598325"/>
    <x v="7"/>
    <s v="No"/>
  </r>
  <r>
    <s v="2021-05-26"/>
    <x v="4"/>
    <x v="2"/>
    <s v="May"/>
    <x v="2"/>
    <x v="3"/>
    <n v="1430846"/>
    <x v="7"/>
    <s v="No"/>
  </r>
  <r>
    <s v="2021-05-27"/>
    <x v="4"/>
    <x v="2"/>
    <s v="May"/>
    <x v="2"/>
    <x v="3"/>
    <n v="214411"/>
    <x v="7"/>
    <s v="No"/>
  </r>
  <r>
    <s v="2021-05-28"/>
    <x v="4"/>
    <x v="2"/>
    <s v="May"/>
    <x v="2"/>
    <x v="3"/>
    <n v="791424"/>
    <x v="7"/>
    <s v="No"/>
  </r>
  <r>
    <s v="2021-05-30"/>
    <x v="4"/>
    <x v="0"/>
    <s v="May"/>
    <x v="2"/>
    <x v="3"/>
    <n v="394061"/>
    <x v="7"/>
    <s v="No"/>
  </r>
  <r>
    <s v="2021-06-01"/>
    <x v="4"/>
    <x v="2"/>
    <s v="June"/>
    <x v="2"/>
    <x v="3"/>
    <n v="272760"/>
    <x v="7"/>
    <s v="No"/>
  </r>
  <r>
    <s v="2021-06-03"/>
    <x v="4"/>
    <x v="2"/>
    <s v="June"/>
    <x v="2"/>
    <x v="3"/>
    <n v="1639657"/>
    <x v="7"/>
    <s v="No"/>
  </r>
  <r>
    <s v="2021-06-03"/>
    <x v="6"/>
    <x v="0"/>
    <s v="June"/>
    <x v="2"/>
    <x v="3"/>
    <n v="577852"/>
    <x v="7"/>
    <s v="No"/>
  </r>
  <r>
    <s v="2021-06-04"/>
    <x v="6"/>
    <x v="0"/>
    <s v="June"/>
    <x v="2"/>
    <x v="3"/>
    <n v="597433"/>
    <x v="7"/>
    <s v="No"/>
  </r>
  <r>
    <s v="2021-06-04"/>
    <x v="6"/>
    <x v="0"/>
    <s v="June"/>
    <x v="2"/>
    <x v="3"/>
    <n v="264551"/>
    <x v="7"/>
    <s v="No"/>
  </r>
  <r>
    <s v="2021-06-04"/>
    <x v="6"/>
    <x v="0"/>
    <s v="June"/>
    <x v="2"/>
    <x v="3"/>
    <n v="1324711"/>
    <x v="7"/>
    <s v="No"/>
  </r>
  <r>
    <s v="2021-06-06"/>
    <x v="6"/>
    <x v="0"/>
    <s v="June"/>
    <x v="2"/>
    <x v="3"/>
    <n v="554702"/>
    <x v="7"/>
    <s v="No"/>
  </r>
  <r>
    <s v="2021-06-11"/>
    <x v="6"/>
    <x v="3"/>
    <s v="June"/>
    <x v="2"/>
    <x v="3"/>
    <n v="208368"/>
    <x v="7"/>
    <s v="No"/>
  </r>
  <r>
    <s v="2021-06-14"/>
    <x v="6"/>
    <x v="0"/>
    <s v="June"/>
    <x v="2"/>
    <x v="3"/>
    <n v="1816220"/>
    <x v="7"/>
    <s v="No"/>
  </r>
  <r>
    <s v="2021-06-14"/>
    <x v="6"/>
    <x v="0"/>
    <s v="June"/>
    <x v="2"/>
    <x v="3"/>
    <n v="1746236"/>
    <x v="7"/>
    <s v="No"/>
  </r>
  <r>
    <s v="2021-06-15"/>
    <x v="6"/>
    <x v="0"/>
    <s v="June"/>
    <x v="2"/>
    <x v="3"/>
    <n v="1683489"/>
    <x v="7"/>
    <s v="No"/>
  </r>
  <r>
    <s v="2021-06-17"/>
    <x v="6"/>
    <x v="0"/>
    <s v="June"/>
    <x v="2"/>
    <x v="3"/>
    <n v="591696"/>
    <x v="7"/>
    <s v="No"/>
  </r>
  <r>
    <s v="2021-06-17"/>
    <x v="6"/>
    <x v="0"/>
    <s v="June"/>
    <x v="2"/>
    <x v="3"/>
    <n v="1908492"/>
    <x v="7"/>
    <s v="No"/>
  </r>
  <r>
    <s v="2021-06-20"/>
    <x v="6"/>
    <x v="0"/>
    <s v="June"/>
    <x v="2"/>
    <x v="3"/>
    <n v="1649849"/>
    <x v="7"/>
    <s v="No"/>
  </r>
  <r>
    <s v="2021-06-20"/>
    <x v="6"/>
    <x v="0"/>
    <s v="June"/>
    <x v="2"/>
    <x v="3"/>
    <n v="1081699"/>
    <x v="7"/>
    <s v="No"/>
  </r>
  <r>
    <s v="2021-06-20"/>
    <x v="6"/>
    <x v="3"/>
    <s v="June"/>
    <x v="2"/>
    <x v="3"/>
    <n v="680075"/>
    <x v="7"/>
    <s v="No"/>
  </r>
  <r>
    <s v="2021-06-21"/>
    <x v="6"/>
    <x v="0"/>
    <s v="June"/>
    <x v="2"/>
    <x v="3"/>
    <n v="1957975"/>
    <x v="7"/>
    <s v="No"/>
  </r>
  <r>
    <s v="2021-06-21"/>
    <x v="6"/>
    <x v="3"/>
    <s v="June"/>
    <x v="2"/>
    <x v="3"/>
    <n v="969416"/>
    <x v="7"/>
    <s v="No"/>
  </r>
  <r>
    <s v="2021-06-24"/>
    <x v="6"/>
    <x v="3"/>
    <s v="June"/>
    <x v="2"/>
    <x v="3"/>
    <n v="1172620"/>
    <x v="7"/>
    <s v="No"/>
  </r>
  <r>
    <s v="2021-06-24"/>
    <x v="6"/>
    <x v="3"/>
    <s v="June"/>
    <x v="2"/>
    <x v="3"/>
    <n v="1203365"/>
    <x v="7"/>
    <s v="No"/>
  </r>
  <r>
    <s v="2021-06-26"/>
    <x v="6"/>
    <x v="3"/>
    <s v="June"/>
    <x v="2"/>
    <x v="3"/>
    <n v="1835094"/>
    <x v="7"/>
    <s v="No"/>
  </r>
  <r>
    <s v="2021-06-27"/>
    <x v="6"/>
    <x v="2"/>
    <s v="June"/>
    <x v="2"/>
    <x v="3"/>
    <n v="836312"/>
    <x v="7"/>
    <s v="No"/>
  </r>
  <r>
    <s v="2021-07-02"/>
    <x v="6"/>
    <x v="3"/>
    <s v="July"/>
    <x v="2"/>
    <x v="0"/>
    <n v="263474"/>
    <x v="8"/>
    <s v="No"/>
  </r>
  <r>
    <s v="2021-07-02"/>
    <x v="6"/>
    <x v="3"/>
    <s v="July"/>
    <x v="2"/>
    <x v="0"/>
    <n v="1413232"/>
    <x v="8"/>
    <s v="No"/>
  </r>
  <r>
    <s v="2021-07-03"/>
    <x v="6"/>
    <x v="3"/>
    <s v="July"/>
    <x v="2"/>
    <x v="0"/>
    <n v="919477"/>
    <x v="8"/>
    <s v="No"/>
  </r>
  <r>
    <s v="2021-07-08"/>
    <x v="6"/>
    <x v="3"/>
    <s v="July"/>
    <x v="2"/>
    <x v="0"/>
    <n v="226279"/>
    <x v="8"/>
    <s v="No"/>
  </r>
  <r>
    <s v="2021-07-16"/>
    <x v="6"/>
    <x v="3"/>
    <s v="July"/>
    <x v="2"/>
    <x v="0"/>
    <n v="1295300"/>
    <x v="8"/>
    <s v="No"/>
  </r>
  <r>
    <s v="2021-07-16"/>
    <x v="6"/>
    <x v="3"/>
    <s v="July"/>
    <x v="2"/>
    <x v="0"/>
    <n v="524387"/>
    <x v="8"/>
    <s v="No"/>
  </r>
  <r>
    <s v="2021-07-17"/>
    <x v="6"/>
    <x v="3"/>
    <s v="July"/>
    <x v="2"/>
    <x v="0"/>
    <n v="1508451"/>
    <x v="8"/>
    <s v="No"/>
  </r>
  <r>
    <s v="2021-07-18"/>
    <x v="6"/>
    <x v="2"/>
    <s v="July"/>
    <x v="2"/>
    <x v="0"/>
    <n v="1584122"/>
    <x v="8"/>
    <s v="No"/>
  </r>
  <r>
    <s v="2021-07-19"/>
    <x v="6"/>
    <x v="3"/>
    <s v="July"/>
    <x v="2"/>
    <x v="0"/>
    <n v="184898"/>
    <x v="8"/>
    <s v="No"/>
  </r>
  <r>
    <s v="2021-07-21"/>
    <x v="6"/>
    <x v="3"/>
    <s v="July"/>
    <x v="2"/>
    <x v="0"/>
    <n v="1979686"/>
    <x v="8"/>
    <s v="No"/>
  </r>
  <r>
    <s v="2021-07-21"/>
    <x v="6"/>
    <x v="3"/>
    <s v="July"/>
    <x v="2"/>
    <x v="0"/>
    <n v="453584"/>
    <x v="8"/>
    <s v="No"/>
  </r>
  <r>
    <s v="2021-07-22"/>
    <x v="6"/>
    <x v="3"/>
    <s v="July"/>
    <x v="2"/>
    <x v="0"/>
    <n v="1635219"/>
    <x v="8"/>
    <s v="No"/>
  </r>
  <r>
    <s v="2021-07-28"/>
    <x v="6"/>
    <x v="3"/>
    <s v="July"/>
    <x v="2"/>
    <x v="0"/>
    <n v="547110"/>
    <x v="8"/>
    <s v="No"/>
  </r>
  <r>
    <s v="2021-07-29"/>
    <x v="6"/>
    <x v="3"/>
    <s v="July"/>
    <x v="2"/>
    <x v="0"/>
    <n v="934991"/>
    <x v="8"/>
    <s v="No"/>
  </r>
  <r>
    <s v="2021-08-01"/>
    <x v="6"/>
    <x v="3"/>
    <s v="August"/>
    <x v="2"/>
    <x v="0"/>
    <n v="1527508"/>
    <x v="8"/>
    <s v="No"/>
  </r>
  <r>
    <s v="2021-08-01"/>
    <x v="6"/>
    <x v="3"/>
    <s v="August"/>
    <x v="2"/>
    <x v="0"/>
    <n v="639256"/>
    <x v="8"/>
    <s v="No"/>
  </r>
  <r>
    <s v="2021-08-06"/>
    <x v="6"/>
    <x v="2"/>
    <s v="August"/>
    <x v="2"/>
    <x v="0"/>
    <n v="142216"/>
    <x v="8"/>
    <s v="No"/>
  </r>
  <r>
    <s v="2021-08-07"/>
    <x v="6"/>
    <x v="3"/>
    <s v="August"/>
    <x v="2"/>
    <x v="0"/>
    <n v="738240"/>
    <x v="8"/>
    <s v="No"/>
  </r>
  <r>
    <s v="2021-08-08"/>
    <x v="6"/>
    <x v="2"/>
    <s v="August"/>
    <x v="2"/>
    <x v="0"/>
    <n v="706781"/>
    <x v="8"/>
    <s v="No"/>
  </r>
  <r>
    <s v="2021-08-09"/>
    <x v="6"/>
    <x v="0"/>
    <s v="August"/>
    <x v="2"/>
    <x v="0"/>
    <n v="458322"/>
    <x v="8"/>
    <s v="No"/>
  </r>
  <r>
    <s v="2021-08-10"/>
    <x v="6"/>
    <x v="0"/>
    <s v="August"/>
    <x v="2"/>
    <x v="0"/>
    <n v="1391712"/>
    <x v="8"/>
    <s v="No"/>
  </r>
  <r>
    <s v="2021-08-10"/>
    <x v="6"/>
    <x v="0"/>
    <s v="August"/>
    <x v="2"/>
    <x v="0"/>
    <n v="692970"/>
    <x v="8"/>
    <s v="No"/>
  </r>
  <r>
    <s v="2021-08-10"/>
    <x v="6"/>
    <x v="0"/>
    <s v="August"/>
    <x v="2"/>
    <x v="0"/>
    <n v="308741"/>
    <x v="8"/>
    <s v="No"/>
  </r>
  <r>
    <s v="2021-08-11"/>
    <x v="6"/>
    <x v="3"/>
    <s v="August"/>
    <x v="2"/>
    <x v="0"/>
    <n v="1365868"/>
    <x v="8"/>
    <s v="No"/>
  </r>
  <r>
    <s v="2021-08-11"/>
    <x v="6"/>
    <x v="0"/>
    <s v="August"/>
    <x v="2"/>
    <x v="0"/>
    <n v="1286518"/>
    <x v="8"/>
    <s v="No"/>
  </r>
  <r>
    <s v="2021-08-13"/>
    <x v="6"/>
    <x v="0"/>
    <s v="August"/>
    <x v="2"/>
    <x v="0"/>
    <n v="1716666"/>
    <x v="8"/>
    <s v="No"/>
  </r>
  <r>
    <s v="2021-08-14"/>
    <x v="6"/>
    <x v="0"/>
    <s v="August"/>
    <x v="2"/>
    <x v="0"/>
    <n v="814289"/>
    <x v="8"/>
    <s v="No"/>
  </r>
  <r>
    <s v="2021-08-14"/>
    <x v="6"/>
    <x v="1"/>
    <s v="August"/>
    <x v="2"/>
    <x v="0"/>
    <n v="1030173"/>
    <x v="8"/>
    <s v="No"/>
  </r>
  <r>
    <s v="2021-08-15"/>
    <x v="6"/>
    <x v="1"/>
    <s v="August"/>
    <x v="2"/>
    <x v="0"/>
    <n v="1380984"/>
    <x v="8"/>
    <s v="No"/>
  </r>
  <r>
    <s v="2021-08-16"/>
    <x v="6"/>
    <x v="0"/>
    <s v="August"/>
    <x v="2"/>
    <x v="0"/>
    <n v="154041"/>
    <x v="8"/>
    <s v="No"/>
  </r>
  <r>
    <s v="2021-08-18"/>
    <x v="6"/>
    <x v="3"/>
    <s v="August"/>
    <x v="2"/>
    <x v="0"/>
    <n v="1663102"/>
    <x v="8"/>
    <s v="No"/>
  </r>
  <r>
    <s v="2021-08-20"/>
    <x v="6"/>
    <x v="0"/>
    <s v="August"/>
    <x v="2"/>
    <x v="0"/>
    <n v="375259"/>
    <x v="8"/>
    <s v="No"/>
  </r>
  <r>
    <s v="2021-08-21"/>
    <x v="6"/>
    <x v="3"/>
    <s v="August"/>
    <x v="2"/>
    <x v="0"/>
    <n v="278132"/>
    <x v="8"/>
    <s v="No"/>
  </r>
  <r>
    <s v="2021-08-23"/>
    <x v="6"/>
    <x v="0"/>
    <s v="August"/>
    <x v="2"/>
    <x v="0"/>
    <n v="269577"/>
    <x v="8"/>
    <s v="No"/>
  </r>
  <r>
    <s v="2021-08-24"/>
    <x v="6"/>
    <x v="3"/>
    <s v="August"/>
    <x v="2"/>
    <x v="0"/>
    <n v="1321245"/>
    <x v="8"/>
    <s v="No"/>
  </r>
  <r>
    <s v="2021-08-24"/>
    <x v="6"/>
    <x v="0"/>
    <s v="August"/>
    <x v="2"/>
    <x v="0"/>
    <n v="1615558"/>
    <x v="8"/>
    <s v="No"/>
  </r>
  <r>
    <s v="2021-08-24"/>
    <x v="6"/>
    <x v="3"/>
    <s v="August"/>
    <x v="2"/>
    <x v="0"/>
    <n v="310439"/>
    <x v="8"/>
    <s v="No"/>
  </r>
  <r>
    <s v="2021-08-28"/>
    <x v="6"/>
    <x v="1"/>
    <s v="August"/>
    <x v="2"/>
    <x v="0"/>
    <n v="1497241"/>
    <x v="8"/>
    <s v="No"/>
  </r>
  <r>
    <s v="2021-08-31"/>
    <x v="6"/>
    <x v="1"/>
    <s v="August"/>
    <x v="2"/>
    <x v="0"/>
    <n v="556276"/>
    <x v="8"/>
    <s v="No"/>
  </r>
  <r>
    <s v="2021-09-03"/>
    <x v="6"/>
    <x v="1"/>
    <s v="September"/>
    <x v="2"/>
    <x v="0"/>
    <n v="1532238"/>
    <x v="8"/>
    <s v="No"/>
  </r>
  <r>
    <s v="2021-09-04"/>
    <x v="6"/>
    <x v="1"/>
    <s v="September"/>
    <x v="2"/>
    <x v="0"/>
    <n v="420324"/>
    <x v="8"/>
    <s v="No"/>
  </r>
  <r>
    <s v="2021-09-05"/>
    <x v="6"/>
    <x v="1"/>
    <s v="September"/>
    <x v="2"/>
    <x v="0"/>
    <n v="532194"/>
    <x v="8"/>
    <s v="No"/>
  </r>
  <r>
    <s v="2021-09-05"/>
    <x v="6"/>
    <x v="1"/>
    <s v="September"/>
    <x v="2"/>
    <x v="0"/>
    <n v="1757686"/>
    <x v="8"/>
    <s v="No"/>
  </r>
  <r>
    <s v="2021-09-07"/>
    <x v="6"/>
    <x v="1"/>
    <s v="September"/>
    <x v="2"/>
    <x v="0"/>
    <n v="1557016"/>
    <x v="8"/>
    <s v="No"/>
  </r>
  <r>
    <s v="2021-09-07"/>
    <x v="6"/>
    <x v="2"/>
    <s v="September"/>
    <x v="2"/>
    <x v="0"/>
    <n v="531649"/>
    <x v="8"/>
    <s v="No"/>
  </r>
  <r>
    <s v="2021-09-15"/>
    <x v="6"/>
    <x v="2"/>
    <s v="September"/>
    <x v="2"/>
    <x v="0"/>
    <n v="175455"/>
    <x v="8"/>
    <s v="No"/>
  </r>
  <r>
    <s v="2021-09-15"/>
    <x v="6"/>
    <x v="2"/>
    <s v="September"/>
    <x v="2"/>
    <x v="0"/>
    <n v="1100820"/>
    <x v="8"/>
    <s v="No"/>
  </r>
  <r>
    <s v="2021-09-17"/>
    <x v="6"/>
    <x v="2"/>
    <s v="September"/>
    <x v="2"/>
    <x v="0"/>
    <n v="1655034"/>
    <x v="8"/>
    <s v="No"/>
  </r>
  <r>
    <s v="2021-09-18"/>
    <x v="6"/>
    <x v="2"/>
    <s v="September"/>
    <x v="2"/>
    <x v="0"/>
    <n v="1187393"/>
    <x v="8"/>
    <s v="No"/>
  </r>
  <r>
    <s v="2021-09-21"/>
    <x v="6"/>
    <x v="2"/>
    <s v="September"/>
    <x v="2"/>
    <x v="0"/>
    <n v="762023"/>
    <x v="8"/>
    <s v="No"/>
  </r>
  <r>
    <s v="2021-09-22"/>
    <x v="6"/>
    <x v="2"/>
    <s v="September"/>
    <x v="2"/>
    <x v="0"/>
    <n v="1132099"/>
    <x v="8"/>
    <s v="No"/>
  </r>
  <r>
    <s v="2021-09-24"/>
    <x v="6"/>
    <x v="2"/>
    <s v="September"/>
    <x v="2"/>
    <x v="0"/>
    <n v="492619"/>
    <x v="8"/>
    <s v="No"/>
  </r>
  <r>
    <s v="2021-09-25"/>
    <x v="6"/>
    <x v="2"/>
    <s v="September"/>
    <x v="2"/>
    <x v="0"/>
    <n v="415572"/>
    <x v="8"/>
    <s v="No"/>
  </r>
  <r>
    <s v="2021-10-03"/>
    <x v="6"/>
    <x v="1"/>
    <s v="October"/>
    <x v="2"/>
    <x v="1"/>
    <n v="1624960"/>
    <x v="9"/>
    <s v="No"/>
  </r>
  <r>
    <s v="2021-10-06"/>
    <x v="6"/>
    <x v="1"/>
    <s v="October"/>
    <x v="2"/>
    <x v="1"/>
    <n v="1706175"/>
    <x v="9"/>
    <s v="No"/>
  </r>
  <r>
    <s v="2021-10-09"/>
    <x v="6"/>
    <x v="1"/>
    <s v="October"/>
    <x v="2"/>
    <x v="1"/>
    <n v="1863812"/>
    <x v="9"/>
    <s v="No"/>
  </r>
  <r>
    <s v="2021-10-11"/>
    <x v="6"/>
    <x v="1"/>
    <s v="October"/>
    <x v="2"/>
    <x v="1"/>
    <n v="1305768"/>
    <x v="9"/>
    <s v="No"/>
  </r>
  <r>
    <s v="2021-10-15"/>
    <x v="6"/>
    <x v="1"/>
    <s v="October"/>
    <x v="2"/>
    <x v="1"/>
    <n v="693940"/>
    <x v="9"/>
    <s v="No"/>
  </r>
  <r>
    <s v="2021-10-15"/>
    <x v="6"/>
    <x v="1"/>
    <s v="October"/>
    <x v="2"/>
    <x v="1"/>
    <n v="1456477"/>
    <x v="9"/>
    <s v="No"/>
  </r>
  <r>
    <s v="2021-10-15"/>
    <x v="6"/>
    <x v="1"/>
    <s v="October"/>
    <x v="2"/>
    <x v="1"/>
    <n v="677163"/>
    <x v="9"/>
    <s v="No"/>
  </r>
  <r>
    <s v="2021-10-16"/>
    <x v="6"/>
    <x v="2"/>
    <s v="October"/>
    <x v="2"/>
    <x v="1"/>
    <n v="192766"/>
    <x v="9"/>
    <s v="No"/>
  </r>
  <r>
    <s v="2021-10-16"/>
    <x v="6"/>
    <x v="1"/>
    <s v="October"/>
    <x v="2"/>
    <x v="1"/>
    <n v="1501306"/>
    <x v="9"/>
    <s v="No"/>
  </r>
  <r>
    <s v="2021-10-18"/>
    <x v="6"/>
    <x v="1"/>
    <s v="October"/>
    <x v="2"/>
    <x v="1"/>
    <n v="728012"/>
    <x v="9"/>
    <s v="No"/>
  </r>
  <r>
    <s v="2021-10-22"/>
    <x v="6"/>
    <x v="1"/>
    <s v="October"/>
    <x v="2"/>
    <x v="1"/>
    <n v="154888"/>
    <x v="9"/>
    <s v="No"/>
  </r>
  <r>
    <s v="2021-10-23"/>
    <x v="6"/>
    <x v="2"/>
    <s v="October"/>
    <x v="2"/>
    <x v="1"/>
    <n v="319150"/>
    <x v="9"/>
    <s v="No"/>
  </r>
  <r>
    <s v="2021-10-24"/>
    <x v="6"/>
    <x v="2"/>
    <s v="October"/>
    <x v="2"/>
    <x v="1"/>
    <n v="1785872"/>
    <x v="9"/>
    <s v="No"/>
  </r>
  <r>
    <s v="2021-10-28"/>
    <x v="6"/>
    <x v="2"/>
    <s v="October"/>
    <x v="2"/>
    <x v="1"/>
    <n v="491015"/>
    <x v="9"/>
    <s v="No"/>
  </r>
  <r>
    <s v="2021-10-28"/>
    <x v="6"/>
    <x v="2"/>
    <s v="October"/>
    <x v="2"/>
    <x v="1"/>
    <n v="679174"/>
    <x v="9"/>
    <s v="No"/>
  </r>
  <r>
    <s v="2021-10-29"/>
    <x v="6"/>
    <x v="2"/>
    <s v="October"/>
    <x v="2"/>
    <x v="1"/>
    <n v="831388"/>
    <x v="9"/>
    <s v="No"/>
  </r>
  <r>
    <s v="2021-11-02"/>
    <x v="6"/>
    <x v="2"/>
    <s v="November"/>
    <x v="2"/>
    <x v="1"/>
    <n v="1301370"/>
    <x v="9"/>
    <s v="No"/>
  </r>
  <r>
    <s v="2021-11-04"/>
    <x v="6"/>
    <x v="2"/>
    <s v="November"/>
    <x v="2"/>
    <x v="1"/>
    <n v="956612"/>
    <x v="9"/>
    <s v="No"/>
  </r>
  <r>
    <s v="2021-11-05"/>
    <x v="6"/>
    <x v="2"/>
    <s v="November"/>
    <x v="2"/>
    <x v="1"/>
    <n v="1566826"/>
    <x v="9"/>
    <s v="No"/>
  </r>
  <r>
    <s v="2021-11-06"/>
    <x v="6"/>
    <x v="2"/>
    <s v="November"/>
    <x v="2"/>
    <x v="1"/>
    <n v="1871003"/>
    <x v="9"/>
    <s v="No"/>
  </r>
  <r>
    <s v="2021-11-08"/>
    <x v="6"/>
    <x v="1"/>
    <s v="November"/>
    <x v="2"/>
    <x v="1"/>
    <n v="1538943"/>
    <x v="9"/>
    <s v="No"/>
  </r>
  <r>
    <s v="2021-11-09"/>
    <x v="6"/>
    <x v="2"/>
    <s v="November"/>
    <x v="2"/>
    <x v="1"/>
    <n v="149317"/>
    <x v="9"/>
    <s v="No"/>
  </r>
  <r>
    <s v="2021-11-11"/>
    <x v="6"/>
    <x v="2"/>
    <s v="November"/>
    <x v="2"/>
    <x v="1"/>
    <n v="1835071"/>
    <x v="9"/>
    <s v="No"/>
  </r>
  <r>
    <s v="2021-11-12"/>
    <x v="6"/>
    <x v="2"/>
    <s v="November"/>
    <x v="2"/>
    <x v="1"/>
    <n v="428155"/>
    <x v="9"/>
    <s v="No"/>
  </r>
  <r>
    <s v="2021-11-13"/>
    <x v="6"/>
    <x v="3"/>
    <s v="November"/>
    <x v="2"/>
    <x v="1"/>
    <n v="1479869"/>
    <x v="9"/>
    <s v="No"/>
  </r>
  <r>
    <s v="2021-11-14"/>
    <x v="6"/>
    <x v="3"/>
    <s v="November"/>
    <x v="2"/>
    <x v="1"/>
    <n v="455008"/>
    <x v="9"/>
    <s v="No"/>
  </r>
  <r>
    <s v="2021-11-15"/>
    <x v="6"/>
    <x v="1"/>
    <s v="November"/>
    <x v="2"/>
    <x v="1"/>
    <n v="857548"/>
    <x v="9"/>
    <s v="No"/>
  </r>
  <r>
    <s v="2021-11-18"/>
    <x v="6"/>
    <x v="1"/>
    <s v="November"/>
    <x v="2"/>
    <x v="1"/>
    <n v="1698152"/>
    <x v="9"/>
    <s v="No"/>
  </r>
  <r>
    <s v="2021-11-20"/>
    <x v="6"/>
    <x v="1"/>
    <s v="November"/>
    <x v="2"/>
    <x v="1"/>
    <n v="1538034"/>
    <x v="9"/>
    <s v="No"/>
  </r>
  <r>
    <s v="2021-11-22"/>
    <x v="6"/>
    <x v="1"/>
    <s v="November"/>
    <x v="2"/>
    <x v="1"/>
    <n v="431646"/>
    <x v="9"/>
    <s v="No"/>
  </r>
  <r>
    <s v="2021-11-23"/>
    <x v="6"/>
    <x v="3"/>
    <s v="November"/>
    <x v="2"/>
    <x v="1"/>
    <n v="1613353"/>
    <x v="9"/>
    <s v="No"/>
  </r>
  <r>
    <s v="2021-11-23"/>
    <x v="6"/>
    <x v="1"/>
    <s v="November"/>
    <x v="2"/>
    <x v="1"/>
    <n v="1891735"/>
    <x v="9"/>
    <s v="No"/>
  </r>
  <r>
    <s v="2021-11-24"/>
    <x v="6"/>
    <x v="2"/>
    <s v="November"/>
    <x v="2"/>
    <x v="1"/>
    <n v="1287970"/>
    <x v="9"/>
    <s v="No"/>
  </r>
  <r>
    <s v="2021-11-25"/>
    <x v="6"/>
    <x v="3"/>
    <s v="November"/>
    <x v="2"/>
    <x v="1"/>
    <n v="172298"/>
    <x v="9"/>
    <s v="No"/>
  </r>
  <r>
    <s v="2021-11-26"/>
    <x v="6"/>
    <x v="3"/>
    <s v="November"/>
    <x v="2"/>
    <x v="1"/>
    <n v="140917"/>
    <x v="9"/>
    <s v="No"/>
  </r>
  <r>
    <s v="2021-11-29"/>
    <x v="6"/>
    <x v="3"/>
    <s v="November"/>
    <x v="2"/>
    <x v="1"/>
    <n v="651020"/>
    <x v="9"/>
    <s v="No"/>
  </r>
  <r>
    <s v="2021-11-29"/>
    <x v="6"/>
    <x v="3"/>
    <s v="November"/>
    <x v="2"/>
    <x v="1"/>
    <n v="1707982"/>
    <x v="9"/>
    <s v="No"/>
  </r>
  <r>
    <s v="2021-12-08"/>
    <x v="6"/>
    <x v="3"/>
    <s v="December"/>
    <x v="2"/>
    <x v="1"/>
    <n v="1093090"/>
    <x v="9"/>
    <s v="No"/>
  </r>
  <r>
    <s v="2021-12-09"/>
    <x v="6"/>
    <x v="3"/>
    <s v="December"/>
    <x v="2"/>
    <x v="1"/>
    <n v="768195"/>
    <x v="9"/>
    <s v="No"/>
  </r>
  <r>
    <s v="2021-12-10"/>
    <x v="6"/>
    <x v="3"/>
    <s v="December"/>
    <x v="2"/>
    <x v="1"/>
    <n v="753790"/>
    <x v="9"/>
    <s v="No"/>
  </r>
  <r>
    <s v="2021-12-14"/>
    <x v="6"/>
    <x v="3"/>
    <s v="December"/>
    <x v="2"/>
    <x v="1"/>
    <n v="597968"/>
    <x v="9"/>
    <s v="No"/>
  </r>
  <r>
    <s v="2021-12-14"/>
    <x v="6"/>
    <x v="2"/>
    <s v="December"/>
    <x v="2"/>
    <x v="1"/>
    <n v="1975800"/>
    <x v="9"/>
    <s v="No"/>
  </r>
  <r>
    <s v="2021-12-18"/>
    <x v="6"/>
    <x v="3"/>
    <s v="December"/>
    <x v="2"/>
    <x v="1"/>
    <n v="401833"/>
    <x v="9"/>
    <s v="No"/>
  </r>
  <r>
    <s v="2021-12-20"/>
    <x v="6"/>
    <x v="1"/>
    <s v="December"/>
    <x v="2"/>
    <x v="1"/>
    <n v="997894"/>
    <x v="9"/>
    <s v="No"/>
  </r>
  <r>
    <s v="2021-12-20"/>
    <x v="6"/>
    <x v="0"/>
    <s v="December"/>
    <x v="2"/>
    <x v="1"/>
    <n v="484032"/>
    <x v="9"/>
    <s v="No"/>
  </r>
  <r>
    <s v="2021-12-22"/>
    <x v="6"/>
    <x v="3"/>
    <s v="December"/>
    <x v="2"/>
    <x v="1"/>
    <n v="1797272"/>
    <x v="9"/>
    <s v="No"/>
  </r>
  <r>
    <s v="2021-12-24"/>
    <x v="6"/>
    <x v="1"/>
    <s v="December"/>
    <x v="2"/>
    <x v="1"/>
    <n v="653332"/>
    <x v="9"/>
    <s v="No"/>
  </r>
  <r>
    <s v="2021-12-24"/>
    <x v="6"/>
    <x v="1"/>
    <s v="December"/>
    <x v="2"/>
    <x v="1"/>
    <n v="172372"/>
    <x v="9"/>
    <s v="No"/>
  </r>
  <r>
    <s v="2021-12-26"/>
    <x v="6"/>
    <x v="3"/>
    <s v="December"/>
    <x v="2"/>
    <x v="1"/>
    <n v="1152230"/>
    <x v="9"/>
    <s v="No"/>
  </r>
  <r>
    <s v="2021-12-28"/>
    <x v="6"/>
    <x v="3"/>
    <s v="December"/>
    <x v="2"/>
    <x v="1"/>
    <n v="202460"/>
    <x v="9"/>
    <s v="No"/>
  </r>
  <r>
    <s v="2021-12-29"/>
    <x v="6"/>
    <x v="3"/>
    <s v="December"/>
    <x v="2"/>
    <x v="1"/>
    <n v="1248770"/>
    <x v="9"/>
    <s v="No"/>
  </r>
  <r>
    <s v="2022-01-04"/>
    <x v="6"/>
    <x v="2"/>
    <s v="January"/>
    <x v="3"/>
    <x v="2"/>
    <n v="890440"/>
    <x v="10"/>
    <s v="No"/>
  </r>
  <r>
    <s v="2022-01-04"/>
    <x v="6"/>
    <x v="0"/>
    <s v="January"/>
    <x v="3"/>
    <x v="2"/>
    <n v="699946"/>
    <x v="10"/>
    <s v="No"/>
  </r>
  <r>
    <s v="2022-01-12"/>
    <x v="6"/>
    <x v="1"/>
    <s v="January"/>
    <x v="3"/>
    <x v="2"/>
    <n v="1345108"/>
    <x v="10"/>
    <s v="No"/>
  </r>
  <r>
    <s v="2022-01-12"/>
    <x v="6"/>
    <x v="2"/>
    <s v="January"/>
    <x v="3"/>
    <x v="2"/>
    <n v="208248"/>
    <x v="10"/>
    <s v="No"/>
  </r>
  <r>
    <s v="2022-01-12"/>
    <x v="6"/>
    <x v="1"/>
    <s v="January"/>
    <x v="3"/>
    <x v="2"/>
    <n v="231825"/>
    <x v="10"/>
    <s v="No"/>
  </r>
  <r>
    <s v="2022-01-14"/>
    <x v="6"/>
    <x v="3"/>
    <s v="January"/>
    <x v="3"/>
    <x v="2"/>
    <n v="1368251"/>
    <x v="10"/>
    <s v="No"/>
  </r>
  <r>
    <s v="2022-01-15"/>
    <x v="6"/>
    <x v="0"/>
    <s v="January"/>
    <x v="3"/>
    <x v="2"/>
    <n v="1766857"/>
    <x v="10"/>
    <s v="No"/>
  </r>
  <r>
    <s v="2022-01-16"/>
    <x v="6"/>
    <x v="0"/>
    <s v="January"/>
    <x v="3"/>
    <x v="2"/>
    <n v="362392"/>
    <x v="10"/>
    <s v="No"/>
  </r>
  <r>
    <s v="2022-01-18"/>
    <x v="6"/>
    <x v="1"/>
    <s v="January"/>
    <x v="3"/>
    <x v="2"/>
    <n v="1376384"/>
    <x v="10"/>
    <s v="No"/>
  </r>
  <r>
    <s v="2022-01-18"/>
    <x v="6"/>
    <x v="3"/>
    <s v="January"/>
    <x v="3"/>
    <x v="2"/>
    <n v="303946"/>
    <x v="10"/>
    <s v="No"/>
  </r>
  <r>
    <s v="2022-01-21"/>
    <x v="6"/>
    <x v="0"/>
    <s v="January"/>
    <x v="3"/>
    <x v="2"/>
    <n v="1446936"/>
    <x v="10"/>
    <s v="No"/>
  </r>
  <r>
    <s v="2022-01-21"/>
    <x v="6"/>
    <x v="1"/>
    <s v="January"/>
    <x v="3"/>
    <x v="2"/>
    <n v="1693881"/>
    <x v="10"/>
    <s v="No"/>
  </r>
  <r>
    <s v="2022-01-27"/>
    <x v="6"/>
    <x v="0"/>
    <s v="January"/>
    <x v="3"/>
    <x v="2"/>
    <n v="1162971"/>
    <x v="10"/>
    <s v="No"/>
  </r>
  <r>
    <s v="2022-01-28"/>
    <x v="6"/>
    <x v="1"/>
    <s v="January"/>
    <x v="3"/>
    <x v="2"/>
    <n v="332072"/>
    <x v="10"/>
    <s v="No"/>
  </r>
  <r>
    <s v="2022-01-28"/>
    <x v="6"/>
    <x v="3"/>
    <s v="January"/>
    <x v="3"/>
    <x v="2"/>
    <n v="1509100"/>
    <x v="10"/>
    <s v="No"/>
  </r>
  <r>
    <s v="2022-01-29"/>
    <x v="6"/>
    <x v="0"/>
    <s v="January"/>
    <x v="3"/>
    <x v="2"/>
    <n v="1816733"/>
    <x v="10"/>
    <s v="No"/>
  </r>
  <r>
    <s v="2022-01-30"/>
    <x v="6"/>
    <x v="2"/>
    <s v="January"/>
    <x v="3"/>
    <x v="2"/>
    <n v="1904892"/>
    <x v="10"/>
    <s v="No"/>
  </r>
  <r>
    <s v="2022-01-30"/>
    <x v="6"/>
    <x v="2"/>
    <s v="January"/>
    <x v="3"/>
    <x v="2"/>
    <n v="1844904"/>
    <x v="10"/>
    <s v="No"/>
  </r>
  <r>
    <s v="2022-01-31"/>
    <x v="6"/>
    <x v="2"/>
    <s v="January"/>
    <x v="3"/>
    <x v="2"/>
    <n v="769203"/>
    <x v="10"/>
    <s v="No"/>
  </r>
  <r>
    <s v="2022-01-31"/>
    <x v="6"/>
    <x v="1"/>
    <s v="January"/>
    <x v="3"/>
    <x v="2"/>
    <n v="1451234"/>
    <x v="10"/>
    <s v="No"/>
  </r>
  <r>
    <s v="2022-02-01"/>
    <x v="6"/>
    <x v="0"/>
    <s v="February"/>
    <x v="3"/>
    <x v="2"/>
    <n v="548582"/>
    <x v="10"/>
    <s v="No"/>
  </r>
  <r>
    <s v="2022-02-02"/>
    <x v="6"/>
    <x v="2"/>
    <s v="February"/>
    <x v="3"/>
    <x v="2"/>
    <n v="560067"/>
    <x v="10"/>
    <s v="No"/>
  </r>
  <r>
    <s v="2022-02-02"/>
    <x v="6"/>
    <x v="0"/>
    <s v="February"/>
    <x v="3"/>
    <x v="2"/>
    <n v="1379309"/>
    <x v="10"/>
    <s v="No"/>
  </r>
  <r>
    <s v="2022-02-05"/>
    <x v="6"/>
    <x v="1"/>
    <s v="February"/>
    <x v="3"/>
    <x v="2"/>
    <n v="342741"/>
    <x v="10"/>
    <s v="No"/>
  </r>
  <r>
    <s v="2022-02-06"/>
    <x v="6"/>
    <x v="0"/>
    <s v="February"/>
    <x v="3"/>
    <x v="2"/>
    <n v="681756"/>
    <x v="10"/>
    <s v="No"/>
  </r>
  <r>
    <s v="2022-02-07"/>
    <x v="6"/>
    <x v="1"/>
    <s v="February"/>
    <x v="3"/>
    <x v="2"/>
    <n v="619416"/>
    <x v="10"/>
    <s v="No"/>
  </r>
  <r>
    <s v="2022-02-10"/>
    <x v="6"/>
    <x v="2"/>
    <s v="February"/>
    <x v="3"/>
    <x v="2"/>
    <n v="485770"/>
    <x v="10"/>
    <s v="No"/>
  </r>
  <r>
    <s v="2022-02-10"/>
    <x v="6"/>
    <x v="0"/>
    <s v="February"/>
    <x v="3"/>
    <x v="2"/>
    <n v="1229004"/>
    <x v="10"/>
    <s v="No"/>
  </r>
  <r>
    <s v="2022-02-10"/>
    <x v="6"/>
    <x v="0"/>
    <s v="February"/>
    <x v="3"/>
    <x v="2"/>
    <n v="1025294"/>
    <x v="10"/>
    <s v="No"/>
  </r>
  <r>
    <s v="2022-02-11"/>
    <x v="6"/>
    <x v="0"/>
    <s v="February"/>
    <x v="3"/>
    <x v="2"/>
    <n v="540529"/>
    <x v="10"/>
    <s v="No"/>
  </r>
  <r>
    <s v="2022-02-13"/>
    <x v="6"/>
    <x v="1"/>
    <s v="February"/>
    <x v="3"/>
    <x v="2"/>
    <n v="1020997"/>
    <x v="10"/>
    <s v="No"/>
  </r>
  <r>
    <s v="2022-02-13"/>
    <x v="6"/>
    <x v="0"/>
    <s v="February"/>
    <x v="3"/>
    <x v="2"/>
    <n v="991075"/>
    <x v="10"/>
    <s v="No"/>
  </r>
  <r>
    <s v="2022-02-14"/>
    <x v="6"/>
    <x v="3"/>
    <s v="February"/>
    <x v="3"/>
    <x v="2"/>
    <n v="1909906"/>
    <x v="10"/>
    <s v="No"/>
  </r>
  <r>
    <s v="2022-02-15"/>
    <x v="6"/>
    <x v="3"/>
    <s v="February"/>
    <x v="3"/>
    <x v="2"/>
    <n v="867097"/>
    <x v="10"/>
    <s v="No"/>
  </r>
  <r>
    <s v="2022-02-17"/>
    <x v="6"/>
    <x v="0"/>
    <s v="February"/>
    <x v="3"/>
    <x v="2"/>
    <n v="1403980"/>
    <x v="10"/>
    <s v="No"/>
  </r>
  <r>
    <s v="2022-02-20"/>
    <x v="6"/>
    <x v="1"/>
    <s v="February"/>
    <x v="3"/>
    <x v="2"/>
    <n v="1528172"/>
    <x v="10"/>
    <s v="No"/>
  </r>
  <r>
    <s v="2022-02-21"/>
    <x v="6"/>
    <x v="2"/>
    <s v="February"/>
    <x v="3"/>
    <x v="2"/>
    <n v="619639"/>
    <x v="10"/>
    <s v="No"/>
  </r>
  <r>
    <s v="2022-02-21"/>
    <x v="6"/>
    <x v="2"/>
    <s v="February"/>
    <x v="3"/>
    <x v="2"/>
    <n v="621829"/>
    <x v="10"/>
    <s v="No"/>
  </r>
  <r>
    <s v="2022-02-21"/>
    <x v="6"/>
    <x v="2"/>
    <s v="February"/>
    <x v="3"/>
    <x v="2"/>
    <n v="774735"/>
    <x v="10"/>
    <s v="No"/>
  </r>
  <r>
    <s v="2022-02-21"/>
    <x v="6"/>
    <x v="0"/>
    <s v="February"/>
    <x v="3"/>
    <x v="2"/>
    <n v="849848"/>
    <x v="10"/>
    <s v="No"/>
  </r>
  <r>
    <s v="2022-02-21"/>
    <x v="6"/>
    <x v="1"/>
    <s v="February"/>
    <x v="3"/>
    <x v="2"/>
    <n v="1322622"/>
    <x v="10"/>
    <s v="No"/>
  </r>
  <r>
    <s v="2022-02-21"/>
    <x v="6"/>
    <x v="3"/>
    <s v="February"/>
    <x v="3"/>
    <x v="2"/>
    <n v="1192453"/>
    <x v="10"/>
    <s v="No"/>
  </r>
  <r>
    <s v="2022-02-22"/>
    <x v="6"/>
    <x v="0"/>
    <s v="February"/>
    <x v="3"/>
    <x v="2"/>
    <n v="740388"/>
    <x v="10"/>
    <s v="No"/>
  </r>
  <r>
    <s v="2022-02-24"/>
    <x v="6"/>
    <x v="2"/>
    <s v="February"/>
    <x v="3"/>
    <x v="2"/>
    <n v="741779"/>
    <x v="10"/>
    <s v="No"/>
  </r>
  <r>
    <s v="2022-02-25"/>
    <x v="6"/>
    <x v="0"/>
    <s v="February"/>
    <x v="3"/>
    <x v="2"/>
    <n v="1882278"/>
    <x v="10"/>
    <s v="No"/>
  </r>
  <r>
    <s v="2022-03-02"/>
    <x v="6"/>
    <x v="3"/>
    <s v="March"/>
    <x v="3"/>
    <x v="2"/>
    <n v="163305"/>
    <x v="10"/>
    <s v="No"/>
  </r>
  <r>
    <s v="2022-03-02"/>
    <x v="6"/>
    <x v="0"/>
    <s v="March"/>
    <x v="3"/>
    <x v="2"/>
    <n v="1002596"/>
    <x v="10"/>
    <s v="No"/>
  </r>
  <r>
    <s v="2022-03-02"/>
    <x v="6"/>
    <x v="1"/>
    <s v="March"/>
    <x v="3"/>
    <x v="2"/>
    <n v="1599567"/>
    <x v="10"/>
    <s v="No"/>
  </r>
  <r>
    <s v="2022-03-04"/>
    <x v="6"/>
    <x v="1"/>
    <s v="March"/>
    <x v="3"/>
    <x v="2"/>
    <n v="1190683"/>
    <x v="10"/>
    <s v="No"/>
  </r>
  <r>
    <s v="2022-03-05"/>
    <x v="6"/>
    <x v="0"/>
    <s v="March"/>
    <x v="3"/>
    <x v="2"/>
    <n v="1051637"/>
    <x v="10"/>
    <s v="No"/>
  </r>
  <r>
    <s v="2022-03-06"/>
    <x v="6"/>
    <x v="3"/>
    <s v="March"/>
    <x v="3"/>
    <x v="2"/>
    <n v="264522"/>
    <x v="10"/>
    <s v="No"/>
  </r>
  <r>
    <s v="2022-03-07"/>
    <x v="6"/>
    <x v="0"/>
    <s v="March"/>
    <x v="3"/>
    <x v="2"/>
    <n v="412015"/>
    <x v="10"/>
    <s v="No"/>
  </r>
  <r>
    <s v="2022-03-07"/>
    <x v="6"/>
    <x v="2"/>
    <s v="March"/>
    <x v="3"/>
    <x v="2"/>
    <n v="1614571"/>
    <x v="10"/>
    <s v="No"/>
  </r>
  <r>
    <s v="2022-03-08"/>
    <x v="6"/>
    <x v="1"/>
    <s v="March"/>
    <x v="3"/>
    <x v="2"/>
    <n v="254514"/>
    <x v="10"/>
    <s v="No"/>
  </r>
  <r>
    <s v="2022-03-09"/>
    <x v="6"/>
    <x v="0"/>
    <s v="March"/>
    <x v="3"/>
    <x v="2"/>
    <n v="1444944"/>
    <x v="10"/>
    <s v="No"/>
  </r>
  <r>
    <s v="2022-03-09"/>
    <x v="6"/>
    <x v="0"/>
    <s v="March"/>
    <x v="3"/>
    <x v="2"/>
    <n v="216677"/>
    <x v="10"/>
    <s v="No"/>
  </r>
  <r>
    <s v="2022-03-10"/>
    <x v="6"/>
    <x v="1"/>
    <s v="March"/>
    <x v="3"/>
    <x v="2"/>
    <n v="792194"/>
    <x v="10"/>
    <s v="No"/>
  </r>
  <r>
    <s v="2022-03-12"/>
    <x v="6"/>
    <x v="0"/>
    <s v="March"/>
    <x v="3"/>
    <x v="2"/>
    <n v="1068878"/>
    <x v="10"/>
    <s v="No"/>
  </r>
  <r>
    <s v="2022-03-14"/>
    <x v="6"/>
    <x v="1"/>
    <s v="March"/>
    <x v="3"/>
    <x v="2"/>
    <n v="1045898"/>
    <x v="10"/>
    <s v="No"/>
  </r>
  <r>
    <s v="2022-03-15"/>
    <x v="6"/>
    <x v="2"/>
    <s v="March"/>
    <x v="3"/>
    <x v="2"/>
    <n v="488346"/>
    <x v="10"/>
    <s v="No"/>
  </r>
  <r>
    <s v="2022-03-16"/>
    <x v="6"/>
    <x v="0"/>
    <s v="March"/>
    <x v="3"/>
    <x v="2"/>
    <n v="1931891"/>
    <x v="10"/>
    <s v="No"/>
  </r>
  <r>
    <s v="2022-03-17"/>
    <x v="6"/>
    <x v="1"/>
    <s v="March"/>
    <x v="3"/>
    <x v="2"/>
    <n v="365633"/>
    <x v="10"/>
    <s v="No"/>
  </r>
  <r>
    <s v="2022-03-17"/>
    <x v="6"/>
    <x v="2"/>
    <s v="March"/>
    <x v="3"/>
    <x v="2"/>
    <n v="1960330"/>
    <x v="10"/>
    <s v="No"/>
  </r>
  <r>
    <s v="2022-03-18"/>
    <x v="6"/>
    <x v="3"/>
    <s v="March"/>
    <x v="3"/>
    <x v="2"/>
    <n v="1549591"/>
    <x v="10"/>
    <s v="No"/>
  </r>
  <r>
    <s v="2022-03-20"/>
    <x v="6"/>
    <x v="0"/>
    <s v="March"/>
    <x v="3"/>
    <x v="2"/>
    <n v="1396686"/>
    <x v="10"/>
    <s v="No"/>
  </r>
  <r>
    <s v="2022-03-21"/>
    <x v="6"/>
    <x v="1"/>
    <s v="March"/>
    <x v="3"/>
    <x v="2"/>
    <n v="598158"/>
    <x v="10"/>
    <s v="No"/>
  </r>
  <r>
    <s v="2022-03-23"/>
    <x v="6"/>
    <x v="1"/>
    <s v="March"/>
    <x v="3"/>
    <x v="2"/>
    <n v="1128891"/>
    <x v="10"/>
    <s v="No"/>
  </r>
  <r>
    <s v="2022-03-23"/>
    <x v="6"/>
    <x v="2"/>
    <s v="March"/>
    <x v="3"/>
    <x v="2"/>
    <n v="1831381"/>
    <x v="10"/>
    <s v="No"/>
  </r>
  <r>
    <s v="2022-03-24"/>
    <x v="6"/>
    <x v="3"/>
    <s v="March"/>
    <x v="3"/>
    <x v="2"/>
    <n v="974375"/>
    <x v="10"/>
    <s v="No"/>
  </r>
  <r>
    <s v="2022-03-25"/>
    <x v="6"/>
    <x v="0"/>
    <s v="March"/>
    <x v="3"/>
    <x v="2"/>
    <n v="187578"/>
    <x v="10"/>
    <s v="No"/>
  </r>
  <r>
    <s v="2022-03-27"/>
    <x v="6"/>
    <x v="0"/>
    <s v="March"/>
    <x v="3"/>
    <x v="2"/>
    <n v="1671909"/>
    <x v="10"/>
    <s v="No"/>
  </r>
  <r>
    <s v="2022-03-28"/>
    <x v="6"/>
    <x v="1"/>
    <s v="March"/>
    <x v="3"/>
    <x v="2"/>
    <n v="1049303"/>
    <x v="10"/>
    <s v="No"/>
  </r>
  <r>
    <s v="2022-03-29"/>
    <x v="6"/>
    <x v="3"/>
    <s v="March"/>
    <x v="3"/>
    <x v="2"/>
    <n v="255056"/>
    <x v="10"/>
    <s v="No"/>
  </r>
  <r>
    <s v="2022-03-30"/>
    <x v="6"/>
    <x v="0"/>
    <s v="March"/>
    <x v="3"/>
    <x v="2"/>
    <n v="1013527"/>
    <x v="10"/>
    <s v="No"/>
  </r>
  <r>
    <s v="2022-03-30"/>
    <x v="6"/>
    <x v="1"/>
    <s v="March"/>
    <x v="3"/>
    <x v="2"/>
    <n v="1409749"/>
    <x v="10"/>
    <s v="No"/>
  </r>
  <r>
    <s v="2022-04-03"/>
    <x v="6"/>
    <x v="0"/>
    <s v="April"/>
    <x v="3"/>
    <x v="2"/>
    <n v="613870"/>
    <x v="10"/>
    <s v="No"/>
  </r>
  <r>
    <s v="2022-04-04"/>
    <x v="6"/>
    <x v="1"/>
    <s v="April"/>
    <x v="3"/>
    <x v="2"/>
    <n v="1733091"/>
    <x v="10"/>
    <s v="No"/>
  </r>
  <r>
    <s v="2022-04-04"/>
    <x v="6"/>
    <x v="3"/>
    <s v="April"/>
    <x v="3"/>
    <x v="2"/>
    <n v="350793"/>
    <x v="10"/>
    <s v="No"/>
  </r>
  <r>
    <s v="2022-04-05"/>
    <x v="6"/>
    <x v="0"/>
    <s v="April"/>
    <x v="3"/>
    <x v="2"/>
    <n v="861955"/>
    <x v="10"/>
    <s v="No"/>
  </r>
  <r>
    <s v="2022-04-07"/>
    <x v="6"/>
    <x v="2"/>
    <s v="April"/>
    <x v="3"/>
    <x v="2"/>
    <n v="1713238"/>
    <x v="10"/>
    <s v="No"/>
  </r>
  <r>
    <s v="2022-04-11"/>
    <x v="6"/>
    <x v="2"/>
    <s v="April"/>
    <x v="3"/>
    <x v="2"/>
    <n v="1219629"/>
    <x v="10"/>
    <s v="No"/>
  </r>
  <r>
    <s v="2022-04-11"/>
    <x v="6"/>
    <x v="2"/>
    <s v="April"/>
    <x v="3"/>
    <x v="2"/>
    <n v="1489196"/>
    <x v="10"/>
    <s v="No"/>
  </r>
  <r>
    <s v="2022-04-12"/>
    <x v="6"/>
    <x v="1"/>
    <s v="April"/>
    <x v="3"/>
    <x v="2"/>
    <n v="1567746"/>
    <x v="10"/>
    <s v="No"/>
  </r>
  <r>
    <s v="2022-04-14"/>
    <x v="6"/>
    <x v="0"/>
    <s v="April"/>
    <x v="3"/>
    <x v="2"/>
    <n v="1485483"/>
    <x v="10"/>
    <s v="No"/>
  </r>
  <r>
    <s v="2022-04-20"/>
    <x v="6"/>
    <x v="2"/>
    <s v="April"/>
    <x v="3"/>
    <x v="2"/>
    <n v="1210891"/>
    <x v="10"/>
    <s v="No"/>
  </r>
  <r>
    <s v="2022-04-21"/>
    <x v="6"/>
    <x v="0"/>
    <s v="April"/>
    <x v="3"/>
    <x v="2"/>
    <n v="1939148"/>
    <x v="10"/>
    <s v="No"/>
  </r>
  <r>
    <s v="2022-04-21"/>
    <x v="6"/>
    <x v="1"/>
    <s v="April"/>
    <x v="3"/>
    <x v="2"/>
    <n v="1263558"/>
    <x v="10"/>
    <s v="No"/>
  </r>
  <r>
    <s v="2022-04-23"/>
    <x v="6"/>
    <x v="0"/>
    <s v="April"/>
    <x v="3"/>
    <x v="2"/>
    <n v="633445"/>
    <x v="10"/>
    <s v="No"/>
  </r>
  <r>
    <s v="2022-04-24"/>
    <x v="6"/>
    <x v="1"/>
    <s v="April"/>
    <x v="3"/>
    <x v="2"/>
    <n v="1293856"/>
    <x v="10"/>
    <s v="No"/>
  </r>
  <r>
    <s v="2022-04-28"/>
    <x v="6"/>
    <x v="0"/>
    <s v="April"/>
    <x v="3"/>
    <x v="2"/>
    <n v="1794560"/>
    <x v="10"/>
    <s v="No"/>
  </r>
  <r>
    <s v="2022-04-30"/>
    <x v="6"/>
    <x v="0"/>
    <s v="April"/>
    <x v="3"/>
    <x v="2"/>
    <n v="530477"/>
    <x v="10"/>
    <s v="No"/>
  </r>
  <r>
    <s v="2022-04-30"/>
    <x v="6"/>
    <x v="2"/>
    <s v="April"/>
    <x v="3"/>
    <x v="2"/>
    <n v="1482817"/>
    <x v="10"/>
    <s v="No"/>
  </r>
  <r>
    <s v="2022-05-04"/>
    <x v="6"/>
    <x v="0"/>
    <s v="May"/>
    <x v="3"/>
    <x v="3"/>
    <n v="543637"/>
    <x v="11"/>
    <s v="No"/>
  </r>
  <r>
    <s v="2022-05-04"/>
    <x v="6"/>
    <x v="1"/>
    <s v="May"/>
    <x v="3"/>
    <x v="3"/>
    <n v="793983"/>
    <x v="11"/>
    <s v="No"/>
  </r>
  <r>
    <s v="2022-05-06"/>
    <x v="6"/>
    <x v="0"/>
    <s v="May"/>
    <x v="3"/>
    <x v="3"/>
    <n v="1736583"/>
    <x v="11"/>
    <s v="No"/>
  </r>
  <r>
    <s v="2022-05-07"/>
    <x v="6"/>
    <x v="3"/>
    <s v="May"/>
    <x v="3"/>
    <x v="3"/>
    <n v="1366036"/>
    <x v="11"/>
    <s v="No"/>
  </r>
  <r>
    <s v="2022-05-10"/>
    <x v="6"/>
    <x v="3"/>
    <s v="May"/>
    <x v="3"/>
    <x v="3"/>
    <n v="1695853"/>
    <x v="11"/>
    <s v="No"/>
  </r>
  <r>
    <s v="2022-05-11"/>
    <x v="6"/>
    <x v="0"/>
    <s v="May"/>
    <x v="3"/>
    <x v="3"/>
    <n v="499256"/>
    <x v="11"/>
    <s v="No"/>
  </r>
  <r>
    <s v="2022-05-12"/>
    <x v="6"/>
    <x v="1"/>
    <s v="May"/>
    <x v="3"/>
    <x v="3"/>
    <n v="1559663"/>
    <x v="11"/>
    <s v="No"/>
  </r>
  <r>
    <s v="2022-05-12"/>
    <x v="6"/>
    <x v="2"/>
    <s v="May"/>
    <x v="3"/>
    <x v="3"/>
    <n v="1038488"/>
    <x v="11"/>
    <s v="No"/>
  </r>
  <r>
    <s v="2022-05-16"/>
    <x v="6"/>
    <x v="2"/>
    <s v="May"/>
    <x v="3"/>
    <x v="3"/>
    <n v="630073"/>
    <x v="11"/>
    <s v="No"/>
  </r>
  <r>
    <s v="2022-05-17"/>
    <x v="6"/>
    <x v="1"/>
    <s v="May"/>
    <x v="3"/>
    <x v="3"/>
    <n v="1886401"/>
    <x v="11"/>
    <s v="No"/>
  </r>
  <r>
    <s v="2022-05-17"/>
    <x v="6"/>
    <x v="3"/>
    <s v="May"/>
    <x v="3"/>
    <x v="3"/>
    <n v="381940"/>
    <x v="11"/>
    <s v="No"/>
  </r>
  <r>
    <s v="2022-05-17"/>
    <x v="6"/>
    <x v="2"/>
    <s v="May"/>
    <x v="3"/>
    <x v="3"/>
    <n v="1243853"/>
    <x v="11"/>
    <s v="No"/>
  </r>
  <r>
    <s v="2022-05-17"/>
    <x v="6"/>
    <x v="0"/>
    <s v="May"/>
    <x v="3"/>
    <x v="3"/>
    <n v="717738"/>
    <x v="11"/>
    <s v="No"/>
  </r>
  <r>
    <s v="2022-05-18"/>
    <x v="6"/>
    <x v="0"/>
    <s v="May"/>
    <x v="3"/>
    <x v="3"/>
    <n v="1922753"/>
    <x v="11"/>
    <s v="No"/>
  </r>
  <r>
    <s v="2022-05-20"/>
    <x v="6"/>
    <x v="2"/>
    <s v="May"/>
    <x v="3"/>
    <x v="3"/>
    <n v="766953"/>
    <x v="11"/>
    <s v="No"/>
  </r>
  <r>
    <s v="2022-05-21"/>
    <x v="6"/>
    <x v="0"/>
    <s v="May"/>
    <x v="3"/>
    <x v="3"/>
    <n v="1436558"/>
    <x v="11"/>
    <s v="No"/>
  </r>
  <r>
    <s v="2022-05-22"/>
    <x v="6"/>
    <x v="1"/>
    <s v="May"/>
    <x v="3"/>
    <x v="3"/>
    <n v="359238"/>
    <x v="11"/>
    <s v="No"/>
  </r>
  <r>
    <s v="2022-05-24"/>
    <x v="4"/>
    <x v="3"/>
    <s v="May"/>
    <x v="3"/>
    <x v="3"/>
    <n v="935260"/>
    <x v="11"/>
    <s v="No"/>
  </r>
  <r>
    <s v="2022-05-24"/>
    <x v="4"/>
    <x v="0"/>
    <s v="May"/>
    <x v="3"/>
    <x v="3"/>
    <n v="1170290"/>
    <x v="11"/>
    <s v="No"/>
  </r>
  <r>
    <s v="2022-05-26"/>
    <x v="4"/>
    <x v="1"/>
    <s v="May"/>
    <x v="3"/>
    <x v="3"/>
    <n v="1399111"/>
    <x v="11"/>
    <s v="No"/>
  </r>
  <r>
    <s v="2022-05-27"/>
    <x v="4"/>
    <x v="3"/>
    <s v="May"/>
    <x v="3"/>
    <x v="3"/>
    <n v="1349313"/>
    <x v="11"/>
    <s v="No"/>
  </r>
  <r>
    <s v="2022-05-27"/>
    <x v="4"/>
    <x v="0"/>
    <s v="May"/>
    <x v="3"/>
    <x v="3"/>
    <n v="1246102"/>
    <x v="11"/>
    <s v="No"/>
  </r>
  <r>
    <s v="2022-05-28"/>
    <x v="4"/>
    <x v="0"/>
    <s v="May"/>
    <x v="3"/>
    <x v="3"/>
    <n v="1216686"/>
    <x v="11"/>
    <s v="No"/>
  </r>
  <r>
    <s v="2022-05-29"/>
    <x v="4"/>
    <x v="1"/>
    <s v="May"/>
    <x v="3"/>
    <x v="3"/>
    <n v="553592"/>
    <x v="11"/>
    <s v="No"/>
  </r>
  <r>
    <s v="2022-05-29"/>
    <x v="4"/>
    <x v="2"/>
    <s v="May"/>
    <x v="3"/>
    <x v="3"/>
    <n v="1613825"/>
    <x v="11"/>
    <s v="No"/>
  </r>
  <r>
    <s v="2022-05-30"/>
    <x v="4"/>
    <x v="0"/>
    <s v="May"/>
    <x v="3"/>
    <x v="3"/>
    <n v="1151530"/>
    <x v="11"/>
    <s v="No"/>
  </r>
  <r>
    <s v="2022-05-30"/>
    <x v="4"/>
    <x v="0"/>
    <s v="May"/>
    <x v="3"/>
    <x v="3"/>
    <n v="1505763"/>
    <x v="11"/>
    <s v="No"/>
  </r>
  <r>
    <s v="2022-06-01"/>
    <x v="4"/>
    <x v="1"/>
    <s v="June"/>
    <x v="3"/>
    <x v="3"/>
    <n v="1654795"/>
    <x v="11"/>
    <s v="No"/>
  </r>
  <r>
    <s v="2022-06-02"/>
    <x v="4"/>
    <x v="0"/>
    <s v="June"/>
    <x v="3"/>
    <x v="3"/>
    <n v="145397"/>
    <x v="11"/>
    <s v="No"/>
  </r>
  <r>
    <s v="2022-06-03"/>
    <x v="4"/>
    <x v="1"/>
    <s v="June"/>
    <x v="3"/>
    <x v="3"/>
    <n v="162687"/>
    <x v="11"/>
    <s v="No"/>
  </r>
  <r>
    <s v="2022-06-05"/>
    <x v="4"/>
    <x v="2"/>
    <s v="June"/>
    <x v="3"/>
    <x v="3"/>
    <n v="1015528"/>
    <x v="11"/>
    <s v="No"/>
  </r>
  <r>
    <s v="2022-06-08"/>
    <x v="4"/>
    <x v="0"/>
    <s v="June"/>
    <x v="3"/>
    <x v="3"/>
    <n v="1695801"/>
    <x v="11"/>
    <s v="No"/>
  </r>
  <r>
    <s v="2022-06-09"/>
    <x v="4"/>
    <x v="2"/>
    <s v="June"/>
    <x v="3"/>
    <x v="3"/>
    <n v="299988"/>
    <x v="11"/>
    <s v="No"/>
  </r>
  <r>
    <s v="2022-06-09"/>
    <x v="4"/>
    <x v="1"/>
    <s v="June"/>
    <x v="3"/>
    <x v="3"/>
    <n v="1493683"/>
    <x v="11"/>
    <s v="No"/>
  </r>
  <r>
    <s v="2022-06-09"/>
    <x v="4"/>
    <x v="3"/>
    <s v="June"/>
    <x v="3"/>
    <x v="3"/>
    <n v="633604"/>
    <x v="11"/>
    <s v="No"/>
  </r>
  <r>
    <s v="2022-06-12"/>
    <x v="4"/>
    <x v="0"/>
    <s v="June"/>
    <x v="3"/>
    <x v="3"/>
    <n v="986904"/>
    <x v="11"/>
    <s v="No"/>
  </r>
  <r>
    <s v="2022-06-13"/>
    <x v="4"/>
    <x v="1"/>
    <s v="June"/>
    <x v="3"/>
    <x v="3"/>
    <n v="1721416"/>
    <x v="11"/>
    <s v="No"/>
  </r>
  <r>
    <s v="2022-06-14"/>
    <x v="4"/>
    <x v="1"/>
    <s v="June"/>
    <x v="3"/>
    <x v="3"/>
    <n v="768191"/>
    <x v="11"/>
    <s v="No"/>
  </r>
  <r>
    <s v="2022-06-14"/>
    <x v="4"/>
    <x v="2"/>
    <s v="June"/>
    <x v="3"/>
    <x v="3"/>
    <n v="1678538"/>
    <x v="11"/>
    <s v="No"/>
  </r>
  <r>
    <s v="2022-06-15"/>
    <x v="4"/>
    <x v="3"/>
    <s v="June"/>
    <x v="3"/>
    <x v="3"/>
    <n v="1482479"/>
    <x v="11"/>
    <s v="No"/>
  </r>
  <r>
    <s v="2022-06-17"/>
    <x v="4"/>
    <x v="0"/>
    <s v="June"/>
    <x v="3"/>
    <x v="3"/>
    <n v="1360610"/>
    <x v="11"/>
    <s v="No"/>
  </r>
  <r>
    <s v="2022-06-18"/>
    <x v="4"/>
    <x v="0"/>
    <s v="June"/>
    <x v="3"/>
    <x v="3"/>
    <n v="1327948"/>
    <x v="11"/>
    <s v="No"/>
  </r>
  <r>
    <s v="2022-06-21"/>
    <x v="4"/>
    <x v="1"/>
    <s v="June"/>
    <x v="3"/>
    <x v="3"/>
    <n v="470519"/>
    <x v="11"/>
    <s v="No"/>
  </r>
  <r>
    <s v="2022-06-22"/>
    <x v="4"/>
    <x v="3"/>
    <s v="June"/>
    <x v="3"/>
    <x v="3"/>
    <n v="1614083"/>
    <x v="11"/>
    <s v="No"/>
  </r>
  <r>
    <s v="2022-06-23"/>
    <x v="4"/>
    <x v="1"/>
    <s v="June"/>
    <x v="3"/>
    <x v="3"/>
    <n v="443420"/>
    <x v="11"/>
    <s v="No"/>
  </r>
  <r>
    <s v="2022-06-23"/>
    <x v="4"/>
    <x v="0"/>
    <s v="June"/>
    <x v="3"/>
    <x v="3"/>
    <n v="1545186"/>
    <x v="11"/>
    <s v="No"/>
  </r>
  <r>
    <s v="2022-06-27"/>
    <x v="4"/>
    <x v="1"/>
    <s v="June"/>
    <x v="3"/>
    <x v="3"/>
    <n v="1051248"/>
    <x v="11"/>
    <s v="No"/>
  </r>
  <r>
    <s v="2022-06-27"/>
    <x v="4"/>
    <x v="0"/>
    <s v="June"/>
    <x v="3"/>
    <x v="3"/>
    <n v="1517230"/>
    <x v="11"/>
    <s v="No"/>
  </r>
  <r>
    <s v="2022-06-28"/>
    <x v="4"/>
    <x v="3"/>
    <s v="June"/>
    <x v="3"/>
    <x v="3"/>
    <n v="873882"/>
    <x v="11"/>
    <s v="No"/>
  </r>
  <r>
    <s v="2022-06-29"/>
    <x v="4"/>
    <x v="0"/>
    <s v="June"/>
    <x v="3"/>
    <x v="3"/>
    <n v="754301"/>
    <x v="11"/>
    <s v="No"/>
  </r>
  <r>
    <s v="2022-07-02"/>
    <x v="4"/>
    <x v="2"/>
    <s v="July"/>
    <x v="3"/>
    <x v="0"/>
    <n v="369331"/>
    <x v="12"/>
    <s v="No"/>
  </r>
  <r>
    <s v="2022-07-04"/>
    <x v="2"/>
    <x v="2"/>
    <s v="July"/>
    <x v="3"/>
    <x v="0"/>
    <n v="1998763"/>
    <x v="12"/>
    <s v="No"/>
  </r>
  <r>
    <s v="2022-07-04"/>
    <x v="2"/>
    <x v="2"/>
    <s v="July"/>
    <x v="3"/>
    <x v="0"/>
    <n v="1183220"/>
    <x v="12"/>
    <s v="No"/>
  </r>
  <r>
    <s v="2022-07-08"/>
    <x v="2"/>
    <x v="1"/>
    <s v="July"/>
    <x v="3"/>
    <x v="0"/>
    <n v="798923"/>
    <x v="12"/>
    <s v="No"/>
  </r>
  <r>
    <s v="2022-07-09"/>
    <x v="2"/>
    <x v="1"/>
    <s v="July"/>
    <x v="3"/>
    <x v="0"/>
    <n v="1156733"/>
    <x v="12"/>
    <s v="No"/>
  </r>
  <r>
    <s v="2022-07-09"/>
    <x v="2"/>
    <x v="0"/>
    <s v="July"/>
    <x v="3"/>
    <x v="0"/>
    <n v="580939"/>
    <x v="12"/>
    <s v="No"/>
  </r>
  <r>
    <s v="2022-07-09"/>
    <x v="2"/>
    <x v="0"/>
    <s v="July"/>
    <x v="3"/>
    <x v="0"/>
    <n v="648732"/>
    <x v="12"/>
    <s v="No"/>
  </r>
  <r>
    <s v="2022-07-09"/>
    <x v="2"/>
    <x v="0"/>
    <s v="July"/>
    <x v="3"/>
    <x v="0"/>
    <n v="747931"/>
    <x v="12"/>
    <s v="No"/>
  </r>
  <r>
    <s v="2022-07-09"/>
    <x v="2"/>
    <x v="2"/>
    <s v="July"/>
    <x v="3"/>
    <x v="0"/>
    <n v="936508"/>
    <x v="12"/>
    <s v="No"/>
  </r>
  <r>
    <s v="2022-07-12"/>
    <x v="2"/>
    <x v="1"/>
    <s v="July"/>
    <x v="3"/>
    <x v="0"/>
    <n v="1929643"/>
    <x v="12"/>
    <s v="No"/>
  </r>
  <r>
    <s v="2022-07-13"/>
    <x v="2"/>
    <x v="0"/>
    <s v="July"/>
    <x v="3"/>
    <x v="0"/>
    <n v="1967857"/>
    <x v="12"/>
    <s v="No"/>
  </r>
  <r>
    <s v="2022-07-15"/>
    <x v="2"/>
    <x v="0"/>
    <s v="July"/>
    <x v="3"/>
    <x v="0"/>
    <n v="259975"/>
    <x v="12"/>
    <s v="No"/>
  </r>
  <r>
    <s v="2022-07-16"/>
    <x v="2"/>
    <x v="2"/>
    <s v="July"/>
    <x v="3"/>
    <x v="0"/>
    <n v="1374309"/>
    <x v="12"/>
    <s v="No"/>
  </r>
  <r>
    <s v="2022-07-16"/>
    <x v="2"/>
    <x v="0"/>
    <s v="July"/>
    <x v="3"/>
    <x v="0"/>
    <n v="1430419"/>
    <x v="12"/>
    <s v="No"/>
  </r>
  <r>
    <s v="2022-07-19"/>
    <x v="2"/>
    <x v="1"/>
    <s v="July"/>
    <x v="3"/>
    <x v="0"/>
    <n v="1648652"/>
    <x v="12"/>
    <s v="No"/>
  </r>
  <r>
    <s v="2022-07-25"/>
    <x v="2"/>
    <x v="0"/>
    <s v="July"/>
    <x v="3"/>
    <x v="0"/>
    <n v="608773"/>
    <x v="12"/>
    <s v="No"/>
  </r>
  <r>
    <s v="2022-07-25"/>
    <x v="2"/>
    <x v="3"/>
    <s v="July"/>
    <x v="3"/>
    <x v="0"/>
    <n v="1752206"/>
    <x v="12"/>
    <s v="No"/>
  </r>
  <r>
    <s v="2022-07-26"/>
    <x v="2"/>
    <x v="3"/>
    <s v="July"/>
    <x v="3"/>
    <x v="0"/>
    <n v="678100"/>
    <x v="12"/>
    <s v="No"/>
  </r>
  <r>
    <s v="2022-07-31"/>
    <x v="2"/>
    <x v="0"/>
    <s v="July"/>
    <x v="3"/>
    <x v="0"/>
    <n v="1681097"/>
    <x v="12"/>
    <s v="No"/>
  </r>
  <r>
    <s v="2022-08-01"/>
    <x v="2"/>
    <x v="2"/>
    <s v="August"/>
    <x v="3"/>
    <x v="0"/>
    <n v="1982446"/>
    <x v="12"/>
    <s v="No"/>
  </r>
  <r>
    <s v="2022-08-01"/>
    <x v="2"/>
    <x v="1"/>
    <s v="August"/>
    <x v="3"/>
    <x v="0"/>
    <n v="615129"/>
    <x v="12"/>
    <s v="No"/>
  </r>
  <r>
    <s v="2022-08-02"/>
    <x v="2"/>
    <x v="2"/>
    <s v="August"/>
    <x v="3"/>
    <x v="0"/>
    <n v="1953112"/>
    <x v="12"/>
    <s v="No"/>
  </r>
  <r>
    <s v="2022-08-02"/>
    <x v="2"/>
    <x v="2"/>
    <s v="August"/>
    <x v="3"/>
    <x v="0"/>
    <n v="1334216"/>
    <x v="12"/>
    <s v="No"/>
  </r>
  <r>
    <s v="2022-08-05"/>
    <x v="2"/>
    <x v="0"/>
    <s v="August"/>
    <x v="3"/>
    <x v="0"/>
    <n v="923297"/>
    <x v="12"/>
    <s v="No"/>
  </r>
  <r>
    <s v="2022-08-05"/>
    <x v="2"/>
    <x v="1"/>
    <s v="August"/>
    <x v="3"/>
    <x v="0"/>
    <n v="1060035"/>
    <x v="12"/>
    <s v="No"/>
  </r>
  <r>
    <s v="2022-08-05"/>
    <x v="2"/>
    <x v="3"/>
    <s v="August"/>
    <x v="3"/>
    <x v="0"/>
    <n v="1213464"/>
    <x v="12"/>
    <s v="No"/>
  </r>
  <r>
    <s v="2022-08-06"/>
    <x v="2"/>
    <x v="0"/>
    <s v="August"/>
    <x v="3"/>
    <x v="0"/>
    <n v="1441704"/>
    <x v="12"/>
    <s v="No"/>
  </r>
  <r>
    <s v="2022-08-10"/>
    <x v="2"/>
    <x v="2"/>
    <s v="August"/>
    <x v="3"/>
    <x v="0"/>
    <n v="509308"/>
    <x v="12"/>
    <s v="No"/>
  </r>
  <r>
    <s v="2022-08-10"/>
    <x v="2"/>
    <x v="0"/>
    <s v="August"/>
    <x v="3"/>
    <x v="0"/>
    <n v="795151"/>
    <x v="12"/>
    <s v="No"/>
  </r>
  <r>
    <s v="2022-08-11"/>
    <x v="2"/>
    <x v="1"/>
    <s v="August"/>
    <x v="3"/>
    <x v="0"/>
    <n v="970001"/>
    <x v="12"/>
    <s v="No"/>
  </r>
  <r>
    <s v="2022-08-13"/>
    <x v="2"/>
    <x v="3"/>
    <s v="August"/>
    <x v="3"/>
    <x v="0"/>
    <n v="1323102"/>
    <x v="12"/>
    <s v="No"/>
  </r>
  <r>
    <s v="2022-08-14"/>
    <x v="2"/>
    <x v="0"/>
    <s v="August"/>
    <x v="3"/>
    <x v="0"/>
    <n v="1719288"/>
    <x v="12"/>
    <s v="No"/>
  </r>
  <r>
    <s v="2022-08-15"/>
    <x v="2"/>
    <x v="1"/>
    <s v="August"/>
    <x v="3"/>
    <x v="0"/>
    <n v="545305"/>
    <x v="12"/>
    <s v="No"/>
  </r>
  <r>
    <s v="2022-08-15"/>
    <x v="2"/>
    <x v="0"/>
    <s v="August"/>
    <x v="3"/>
    <x v="0"/>
    <n v="1100065"/>
    <x v="12"/>
    <s v="No"/>
  </r>
  <r>
    <s v="2022-08-17"/>
    <x v="2"/>
    <x v="3"/>
    <s v="August"/>
    <x v="3"/>
    <x v="0"/>
    <n v="1178486"/>
    <x v="12"/>
    <s v="No"/>
  </r>
  <r>
    <s v="2022-08-23"/>
    <x v="2"/>
    <x v="0"/>
    <s v="August"/>
    <x v="3"/>
    <x v="0"/>
    <n v="725587"/>
    <x v="12"/>
    <s v="No"/>
  </r>
  <r>
    <s v="2022-08-23"/>
    <x v="2"/>
    <x v="2"/>
    <s v="August"/>
    <x v="3"/>
    <x v="0"/>
    <n v="1682112"/>
    <x v="12"/>
    <s v="No"/>
  </r>
  <r>
    <s v="2022-08-24"/>
    <x v="2"/>
    <x v="1"/>
    <s v="August"/>
    <x v="3"/>
    <x v="0"/>
    <n v="1283815"/>
    <x v="12"/>
    <s v="No"/>
  </r>
  <r>
    <s v="2022-08-26"/>
    <x v="2"/>
    <x v="0"/>
    <s v="August"/>
    <x v="3"/>
    <x v="0"/>
    <n v="1728548"/>
    <x v="12"/>
    <s v="No"/>
  </r>
  <r>
    <s v="2022-08-29"/>
    <x v="2"/>
    <x v="0"/>
    <s v="August"/>
    <x v="3"/>
    <x v="0"/>
    <n v="1184509"/>
    <x v="12"/>
    <s v="No"/>
  </r>
  <r>
    <s v="2022-08-31"/>
    <x v="2"/>
    <x v="1"/>
    <s v="August"/>
    <x v="3"/>
    <x v="0"/>
    <n v="1403679"/>
    <x v="12"/>
    <s v="No"/>
  </r>
  <r>
    <s v="2022-09-01"/>
    <x v="2"/>
    <x v="0"/>
    <s v="September"/>
    <x v="3"/>
    <x v="0"/>
    <n v="1182590"/>
    <x v="12"/>
    <s v="No"/>
  </r>
  <r>
    <s v="2022-09-02"/>
    <x v="2"/>
    <x v="1"/>
    <s v="September"/>
    <x v="3"/>
    <x v="0"/>
    <n v="218240"/>
    <x v="12"/>
    <s v="No"/>
  </r>
  <r>
    <s v="2022-09-07"/>
    <x v="2"/>
    <x v="2"/>
    <s v="September"/>
    <x v="3"/>
    <x v="0"/>
    <n v="1793709"/>
    <x v="12"/>
    <s v="No"/>
  </r>
  <r>
    <s v="2022-09-11"/>
    <x v="2"/>
    <x v="0"/>
    <s v="September"/>
    <x v="3"/>
    <x v="0"/>
    <n v="881630"/>
    <x v="12"/>
    <s v="No"/>
  </r>
  <r>
    <s v="2022-09-12"/>
    <x v="2"/>
    <x v="1"/>
    <s v="September"/>
    <x v="3"/>
    <x v="0"/>
    <n v="1579357"/>
    <x v="12"/>
    <s v="No"/>
  </r>
  <r>
    <s v="2022-09-12"/>
    <x v="2"/>
    <x v="2"/>
    <s v="September"/>
    <x v="3"/>
    <x v="0"/>
    <n v="1881690"/>
    <x v="12"/>
    <s v="No"/>
  </r>
  <r>
    <s v="2022-09-12"/>
    <x v="2"/>
    <x v="3"/>
    <s v="September"/>
    <x v="3"/>
    <x v="0"/>
    <n v="425145"/>
    <x v="12"/>
    <s v="No"/>
  </r>
  <r>
    <s v="2022-09-12"/>
    <x v="2"/>
    <x v="0"/>
    <s v="September"/>
    <x v="3"/>
    <x v="0"/>
    <n v="170272"/>
    <x v="12"/>
    <s v="No"/>
  </r>
  <r>
    <s v="2022-09-13"/>
    <x v="2"/>
    <x v="1"/>
    <s v="September"/>
    <x v="3"/>
    <x v="0"/>
    <n v="1340840"/>
    <x v="12"/>
    <s v="No"/>
  </r>
  <r>
    <s v="2022-09-15"/>
    <x v="2"/>
    <x v="1"/>
    <s v="September"/>
    <x v="3"/>
    <x v="0"/>
    <n v="1731924"/>
    <x v="12"/>
    <s v="No"/>
  </r>
  <r>
    <s v="2022-09-15"/>
    <x v="2"/>
    <x v="2"/>
    <s v="September"/>
    <x v="3"/>
    <x v="0"/>
    <n v="1030957"/>
    <x v="12"/>
    <s v="No"/>
  </r>
  <r>
    <s v="2022-09-16"/>
    <x v="2"/>
    <x v="3"/>
    <s v="September"/>
    <x v="3"/>
    <x v="0"/>
    <n v="247066"/>
    <x v="12"/>
    <s v="No"/>
  </r>
  <r>
    <s v="2022-09-18"/>
    <x v="2"/>
    <x v="0"/>
    <s v="September"/>
    <x v="3"/>
    <x v="0"/>
    <n v="250567"/>
    <x v="12"/>
    <s v="No"/>
  </r>
  <r>
    <s v="2022-09-20"/>
    <x v="2"/>
    <x v="0"/>
    <s v="September"/>
    <x v="3"/>
    <x v="0"/>
    <n v="1186037"/>
    <x v="12"/>
    <s v="No"/>
  </r>
  <r>
    <s v="2022-09-21"/>
    <x v="2"/>
    <x v="1"/>
    <s v="September"/>
    <x v="3"/>
    <x v="0"/>
    <n v="1537340"/>
    <x v="12"/>
    <s v="No"/>
  </r>
  <r>
    <s v="2022-09-28"/>
    <x v="2"/>
    <x v="3"/>
    <s v="September"/>
    <x v="3"/>
    <x v="0"/>
    <n v="552073"/>
    <x v="12"/>
    <s v="No"/>
  </r>
  <r>
    <s v="2022-09-29"/>
    <x v="2"/>
    <x v="0"/>
    <s v="September"/>
    <x v="3"/>
    <x v="0"/>
    <n v="686369"/>
    <x v="12"/>
    <s v="No"/>
  </r>
  <r>
    <s v="2022-09-30"/>
    <x v="2"/>
    <x v="1"/>
    <s v="September"/>
    <x v="3"/>
    <x v="0"/>
    <n v="953560"/>
    <x v="12"/>
    <s v="No"/>
  </r>
  <r>
    <s v="2022-10-01"/>
    <x v="2"/>
    <x v="0"/>
    <s v="October"/>
    <x v="3"/>
    <x v="1"/>
    <n v="1135057"/>
    <x v="13"/>
    <s v="No"/>
  </r>
  <r>
    <s v="2022-10-02"/>
    <x v="2"/>
    <x v="1"/>
    <s v="October"/>
    <x v="3"/>
    <x v="1"/>
    <n v="774526"/>
    <x v="13"/>
    <s v="No"/>
  </r>
  <r>
    <s v="2022-10-02"/>
    <x v="2"/>
    <x v="3"/>
    <s v="October"/>
    <x v="3"/>
    <x v="1"/>
    <n v="1015942"/>
    <x v="13"/>
    <s v="No"/>
  </r>
  <r>
    <s v="2022-10-02"/>
    <x v="2"/>
    <x v="0"/>
    <s v="October"/>
    <x v="3"/>
    <x v="1"/>
    <n v="1993520"/>
    <x v="13"/>
    <s v="No"/>
  </r>
  <r>
    <s v="2022-10-04"/>
    <x v="2"/>
    <x v="2"/>
    <s v="October"/>
    <x v="3"/>
    <x v="1"/>
    <n v="259226"/>
    <x v="13"/>
    <s v="No"/>
  </r>
  <r>
    <s v="2022-10-05"/>
    <x v="2"/>
    <x v="2"/>
    <s v="October"/>
    <x v="3"/>
    <x v="1"/>
    <n v="500000"/>
    <x v="13"/>
    <s v="No"/>
  </r>
  <r>
    <s v="2022-10-06"/>
    <x v="2"/>
    <x v="2"/>
    <s v="October"/>
    <x v="3"/>
    <x v="1"/>
    <n v="480000"/>
    <x v="13"/>
    <s v="No"/>
  </r>
  <r>
    <s v="2022-10-06"/>
    <x v="2"/>
    <x v="1"/>
    <s v="October"/>
    <x v="3"/>
    <x v="1"/>
    <n v="1323102"/>
    <x v="13"/>
    <s v="No"/>
  </r>
  <r>
    <s v="2022-10-07"/>
    <x v="2"/>
    <x v="0"/>
    <s v="October"/>
    <x v="3"/>
    <x v="1"/>
    <n v="1719288"/>
    <x v="13"/>
    <s v="No"/>
  </r>
  <r>
    <s v="2022-10-07"/>
    <x v="2"/>
    <x v="2"/>
    <s v="October"/>
    <x v="3"/>
    <x v="1"/>
    <n v="545305"/>
    <x v="13"/>
    <s v="No"/>
  </r>
  <r>
    <s v="2022-10-08"/>
    <x v="2"/>
    <x v="0"/>
    <s v="October"/>
    <x v="3"/>
    <x v="1"/>
    <n v="1100065"/>
    <x v="13"/>
    <s v="No"/>
  </r>
  <r>
    <s v="2022-10-09"/>
    <x v="2"/>
    <x v="1"/>
    <s v="October"/>
    <x v="3"/>
    <x v="1"/>
    <n v="1178486"/>
    <x v="13"/>
    <s v="No"/>
  </r>
  <r>
    <s v="2022-10-11"/>
    <x v="2"/>
    <x v="0"/>
    <s v="October"/>
    <x v="3"/>
    <x v="1"/>
    <n v="725587"/>
    <x v="13"/>
    <s v="No"/>
  </r>
  <r>
    <s v="2022-10-11"/>
    <x v="2"/>
    <x v="1"/>
    <s v="October"/>
    <x v="3"/>
    <x v="1"/>
    <n v="1682112"/>
    <x v="13"/>
    <s v="No"/>
  </r>
  <r>
    <s v="2022-10-13"/>
    <x v="2"/>
    <x v="0"/>
    <s v="October"/>
    <x v="3"/>
    <x v="1"/>
    <n v="1728548"/>
    <x v="13"/>
    <s v="No"/>
  </r>
  <r>
    <s v="2022-10-13"/>
    <x v="2"/>
    <x v="0"/>
    <s v="October"/>
    <x v="3"/>
    <x v="1"/>
    <n v="1283815"/>
    <x v="13"/>
    <s v="No"/>
  </r>
  <r>
    <s v="2022-10-15"/>
    <x v="1"/>
    <x v="2"/>
    <s v="October"/>
    <x v="3"/>
    <x v="1"/>
    <n v="1184509"/>
    <x v="13"/>
    <s v="No"/>
  </r>
  <r>
    <s v="2022-10-15"/>
    <x v="1"/>
    <x v="0"/>
    <s v="October"/>
    <x v="3"/>
    <x v="1"/>
    <n v="1403679"/>
    <x v="13"/>
    <s v="No"/>
  </r>
  <r>
    <s v="2022-10-19"/>
    <x v="1"/>
    <x v="1"/>
    <s v="October"/>
    <x v="3"/>
    <x v="1"/>
    <n v="1182590"/>
    <x v="13"/>
    <s v="No"/>
  </r>
  <r>
    <s v="2022-10-20"/>
    <x v="1"/>
    <x v="0"/>
    <s v="October"/>
    <x v="3"/>
    <x v="1"/>
    <n v="789000"/>
    <x v="13"/>
    <s v="No"/>
  </r>
  <r>
    <s v="2022-10-23"/>
    <x v="4"/>
    <x v="3"/>
    <s v="October"/>
    <x v="3"/>
    <x v="1"/>
    <n v="302000"/>
    <x v="13"/>
    <s v="No"/>
  </r>
  <r>
    <s v="2022-10-24"/>
    <x v="4"/>
    <x v="3"/>
    <s v="October"/>
    <x v="3"/>
    <x v="1"/>
    <n v="102000"/>
    <x v="13"/>
    <s v="No"/>
  </r>
  <r>
    <s v="2022-10-25"/>
    <x v="4"/>
    <x v="0"/>
    <s v="October"/>
    <x v="3"/>
    <x v="1"/>
    <n v="50000"/>
    <x v="13"/>
    <s v="No"/>
  </r>
  <r>
    <s v="2022-10-27"/>
    <x v="4"/>
    <x v="1"/>
    <s v="October"/>
    <x v="3"/>
    <x v="1"/>
    <n v="720000"/>
    <x v="13"/>
    <s v="No"/>
  </r>
  <r>
    <s v="2022-10-27"/>
    <x v="4"/>
    <x v="2"/>
    <s v="October"/>
    <x v="3"/>
    <x v="1"/>
    <n v="70000"/>
    <x v="13"/>
    <s v="No"/>
  </r>
  <r>
    <s v="2022-10-29"/>
    <x v="0"/>
    <x v="2"/>
    <s v="October"/>
    <x v="3"/>
    <x v="1"/>
    <n v="50500"/>
    <x v="13"/>
    <s v="No"/>
  </r>
  <r>
    <s v="2022-10-30"/>
    <x v="3"/>
    <x v="2"/>
    <s v="October"/>
    <x v="3"/>
    <x v="1"/>
    <n v="63900"/>
    <x v="13"/>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B1D89-1586-4C51-B9BA-0AF1D725314B}" name="Regional 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I12" firstHeaderRow="1" firstDataRow="2" firstDataCol="1"/>
  <pivotFields count="9">
    <pivotField showAll="0"/>
    <pivotField showAll="0">
      <items count="8">
        <item x="0"/>
        <item x="1"/>
        <item x="3"/>
        <item x="5"/>
        <item x="6"/>
        <item x="2"/>
        <item x="4"/>
        <item t="default"/>
      </items>
    </pivotField>
    <pivotField axis="axisRow" showAll="0">
      <items count="5">
        <item x="1"/>
        <item x="2"/>
        <item x="0"/>
        <item x="3"/>
        <item t="default"/>
      </items>
    </pivotField>
    <pivotField showAll="0"/>
    <pivotField axis="axisCol" showAll="0">
      <items count="5">
        <item x="0"/>
        <item x="1"/>
        <item x="2"/>
        <item x="3"/>
        <item t="default"/>
      </items>
    </pivotField>
    <pivotField showAll="0"/>
    <pivotField dataField="1" numFmtId="164" showAll="0"/>
    <pivotField showAll="0"/>
    <pivotField showAll="0"/>
  </pivotFields>
  <rowFields count="1">
    <field x="2"/>
  </rowFields>
  <rowItems count="5">
    <i>
      <x/>
    </i>
    <i>
      <x v="1"/>
    </i>
    <i>
      <x v="2"/>
    </i>
    <i>
      <x v="3"/>
    </i>
    <i t="grand">
      <x/>
    </i>
  </rowItems>
  <colFields count="1">
    <field x="4"/>
  </colFields>
  <colItems count="5">
    <i>
      <x/>
    </i>
    <i>
      <x v="1"/>
    </i>
    <i>
      <x v="2"/>
    </i>
    <i>
      <x v="3"/>
    </i>
    <i t="grand">
      <x/>
    </i>
  </colItems>
  <dataFields count="1">
    <dataField name="Sum of Amount" fld="6" baseField="0" baseItem="0" numFmtId="164"/>
  </dataFields>
  <chartFormats count="8">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2">
          <reference field="4294967294" count="1" selected="0">
            <x v="0"/>
          </reference>
          <reference field="4" count="1" selected="0">
            <x v="2"/>
          </reference>
        </references>
      </pivotArea>
    </chartFormat>
    <chartFormat chart="6" format="11" series="1">
      <pivotArea type="data" outline="0" fieldPosition="0">
        <references count="2">
          <reference field="4294967294" count="1" selected="0">
            <x v="0"/>
          </reference>
          <reference field="4" count="1" selected="0">
            <x v="3"/>
          </reference>
        </references>
      </pivotArea>
    </chartFormat>
    <chartFormat chart="9" format="16" series="1">
      <pivotArea type="data" outline="0" fieldPosition="0">
        <references count="2">
          <reference field="4294967294" count="1" selected="0">
            <x v="0"/>
          </reference>
          <reference field="4" count="1" selected="0">
            <x v="0"/>
          </reference>
        </references>
      </pivotArea>
    </chartFormat>
    <chartFormat chart="9" format="17" series="1">
      <pivotArea type="data" outline="0" fieldPosition="0">
        <references count="2">
          <reference field="4294967294" count="1" selected="0">
            <x v="0"/>
          </reference>
          <reference field="4" count="1" selected="0">
            <x v="1"/>
          </reference>
        </references>
      </pivotArea>
    </chartFormat>
    <chartFormat chart="9" format="18" series="1">
      <pivotArea type="data" outline="0" fieldPosition="0">
        <references count="2">
          <reference field="4294967294" count="1" selected="0">
            <x v="0"/>
          </reference>
          <reference field="4" count="1" selected="0">
            <x v="2"/>
          </reference>
        </references>
      </pivotArea>
    </chartFormat>
    <chartFormat chart="9" format="19"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863DCE-1D4C-4E60-892E-46CAF868A59E}" name="Revenue trend"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8" firstHeaderRow="1" firstDataRow="1" firstDataCol="1"/>
  <pivotFields count="9">
    <pivotField showAll="0"/>
    <pivotField showAll="0">
      <items count="8">
        <item x="0"/>
        <item x="1"/>
        <item x="3"/>
        <item x="5"/>
        <item x="6"/>
        <item x="2"/>
        <item x="4"/>
        <item t="default"/>
      </items>
    </pivotField>
    <pivotField showAll="0">
      <items count="5">
        <item x="1"/>
        <item x="2"/>
        <item x="0"/>
        <item x="3"/>
        <item t="default"/>
      </items>
    </pivotField>
    <pivotField showAll="0"/>
    <pivotField showAll="0">
      <items count="5">
        <item x="0"/>
        <item x="1"/>
        <item x="2"/>
        <item x="3"/>
        <item t="default"/>
      </items>
    </pivotField>
    <pivotField showAll="0"/>
    <pivotField dataField="1" numFmtId="164" showAll="0"/>
    <pivotField axis="axisRow" showAll="0">
      <items count="15">
        <item x="0"/>
        <item x="1"/>
        <item x="2"/>
        <item x="3"/>
        <item x="4"/>
        <item x="5"/>
        <item x="6"/>
        <item x="7"/>
        <item x="8"/>
        <item x="9"/>
        <item x="10"/>
        <item x="11"/>
        <item x="12"/>
        <item x="13"/>
        <item t="default"/>
      </items>
    </pivotField>
    <pivotField showAll="0"/>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Amount" fld="6" showDataAs="runTotal" baseField="7" baseItem="5" numFmtId="164"/>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D7B063-A795-4BE6-9108-40BE286441AD}" name="Client concentration by year"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7:I26" firstHeaderRow="1" firstDataRow="2" firstDataCol="1"/>
  <pivotFields count="9">
    <pivotField showAll="0"/>
    <pivotField axis="axisRow" showAll="0">
      <items count="8">
        <item x="0"/>
        <item x="1"/>
        <item x="3"/>
        <item x="5"/>
        <item x="6"/>
        <item x="2"/>
        <item x="4"/>
        <item t="default"/>
      </items>
    </pivotField>
    <pivotField showAll="0">
      <items count="5">
        <item x="1"/>
        <item x="2"/>
        <item x="0"/>
        <item x="3"/>
        <item t="default"/>
      </items>
    </pivotField>
    <pivotField showAll="0"/>
    <pivotField axis="axisCol" showAll="0">
      <items count="5">
        <item x="0"/>
        <item x="1"/>
        <item x="2"/>
        <item x="3"/>
        <item t="default"/>
      </items>
    </pivotField>
    <pivotField showAll="0">
      <items count="5">
        <item x="2"/>
        <item x="3"/>
        <item x="0"/>
        <item x="1"/>
        <item t="default"/>
      </items>
    </pivotField>
    <pivotField dataField="1" numFmtId="164" showAll="0"/>
    <pivotField showAll="0"/>
    <pivotField showAll="0"/>
  </pivotFields>
  <rowFields count="1">
    <field x="1"/>
  </rowFields>
  <rowItems count="8">
    <i>
      <x/>
    </i>
    <i>
      <x v="1"/>
    </i>
    <i>
      <x v="2"/>
    </i>
    <i>
      <x v="3"/>
    </i>
    <i>
      <x v="4"/>
    </i>
    <i>
      <x v="5"/>
    </i>
    <i>
      <x v="6"/>
    </i>
    <i t="grand">
      <x/>
    </i>
  </rowItems>
  <colFields count="1">
    <field x="4"/>
  </colFields>
  <colItems count="5">
    <i>
      <x/>
    </i>
    <i>
      <x v="1"/>
    </i>
    <i>
      <x v="2"/>
    </i>
    <i>
      <x v="3"/>
    </i>
    <i t="grand">
      <x/>
    </i>
  </colItems>
  <dataFields count="1">
    <dataField name="Sum of Amount" fld="6" baseField="0" baseItem="0" numFmtId="164"/>
  </dataFields>
  <chartFormats count="8">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 chart="7" format="16" series="1">
      <pivotArea type="data" outline="0" fieldPosition="0">
        <references count="2">
          <reference field="4294967294" count="1" selected="0">
            <x v="0"/>
          </reference>
          <reference field="4" count="1" selected="0">
            <x v="0"/>
          </reference>
        </references>
      </pivotArea>
    </chartFormat>
    <chartFormat chart="7" format="17" series="1">
      <pivotArea type="data" outline="0" fieldPosition="0">
        <references count="2">
          <reference field="4294967294" count="1" selected="0">
            <x v="0"/>
          </reference>
          <reference field="4" count="1" selected="0">
            <x v="1"/>
          </reference>
        </references>
      </pivotArea>
    </chartFormat>
    <chartFormat chart="7" format="18" series="1">
      <pivotArea type="data" outline="0" fieldPosition="0">
        <references count="2">
          <reference field="4294967294" count="1" selected="0">
            <x v="0"/>
          </reference>
          <reference field="4" count="1" selected="0">
            <x v="2"/>
          </reference>
        </references>
      </pivotArea>
    </chartFormat>
    <chartFormat chart="7" format="19"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1C55EA-6DB9-4F6E-ADA6-66CE5BDE834B}" name="Client revenue ranking"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1" firstHeaderRow="1" firstDataRow="1" firstDataCol="1"/>
  <pivotFields count="9">
    <pivotField showAll="0"/>
    <pivotField axis="axisRow" showAll="0" sortType="descending">
      <items count="8">
        <item x="4"/>
        <item x="2"/>
        <item x="6"/>
        <item x="5"/>
        <item x="3"/>
        <item x="1"/>
        <item x="0"/>
        <item t="default"/>
      </items>
    </pivotField>
    <pivotField showAll="0">
      <items count="5">
        <item x="1"/>
        <item x="2"/>
        <item x="0"/>
        <item x="3"/>
        <item t="default"/>
      </items>
    </pivotField>
    <pivotField showAll="0"/>
    <pivotField showAll="0">
      <items count="5">
        <item x="0"/>
        <item x="1"/>
        <item x="2"/>
        <item x="3"/>
        <item t="default"/>
      </items>
    </pivotField>
    <pivotField showAll="0"/>
    <pivotField dataField="1" numFmtId="164" showAll="0"/>
    <pivotField showAll="0"/>
    <pivotField showAll="0"/>
  </pivotFields>
  <rowFields count="1">
    <field x="1"/>
  </rowFields>
  <rowItems count="8">
    <i>
      <x/>
    </i>
    <i>
      <x v="1"/>
    </i>
    <i>
      <x v="2"/>
    </i>
    <i>
      <x v="3"/>
    </i>
    <i>
      <x v="4"/>
    </i>
    <i>
      <x v="5"/>
    </i>
    <i>
      <x v="6"/>
    </i>
    <i t="grand">
      <x/>
    </i>
  </rowItems>
  <colItems count="1">
    <i/>
  </colItems>
  <dataFields count="1">
    <dataField name="Sum of Amount" fld="6" showDataAs="percentOfTotal" baseField="1" baseItem="0" numFmtId="10"/>
  </dataField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5304AD65-A066-4CD4-818B-1F972C058A9D}" sourceName="Client">
  <pivotTables>
    <pivotTable tabId="3" name="Client concentration by year"/>
    <pivotTable tabId="3" name="Client revenue ranking"/>
    <pivotTable tabId="3" name="Regional performance"/>
    <pivotTable tabId="3" name="Revenue trend"/>
  </pivotTables>
  <data>
    <tabular pivotCacheId="1393159782">
      <items count="7">
        <i x="0" s="1"/>
        <i x="1" s="1"/>
        <i x="3" s="1"/>
        <i x="5"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F3DBF9-DD32-4362-97A7-28183F33AAB9}" sourceName="Region">
  <pivotTables>
    <pivotTable tabId="3" name="Client concentration by year"/>
    <pivotTable tabId="3" name="Client revenue ranking"/>
    <pivotTable tabId="3" name="Regional performance"/>
    <pivotTable tabId="3" name="Revenue trend"/>
  </pivotTables>
  <data>
    <tabular pivotCacheId="1393159782">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D240C6-4E79-4E8F-BB4A-45934B3F2131}" sourceName="Year">
  <pivotTables>
    <pivotTable tabId="3" name="Client concentration by year"/>
    <pivotTable tabId="3" name="Client revenue ranking"/>
    <pivotTable tabId="3" name="Regional performance"/>
    <pivotTable tabId="3" name="Revenue trend"/>
  </pivotTables>
  <data>
    <tabular pivotCacheId="139315978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xr10:uid="{1F5582CA-810C-4C4F-80A7-FDA1A437CB57}" cache="Slicer_Client" caption="Client" rowHeight="241300"/>
  <slicer name="Region" xr10:uid="{1ECE6F5E-642D-4387-BACC-7394EBA47EC6}" cache="Slicer_Region" caption="Region" rowHeight="241300"/>
  <slicer name="Year" xr10:uid="{9293458C-91F4-4CBD-8DA0-6F130D3CBEE7}"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1" xr10:uid="{66AE1343-420E-414F-AA2C-4B833F02771E}" cache="Slicer_Client" caption="Client" rowHeight="241300"/>
  <slicer name="Region 1" xr10:uid="{BA23AA9D-348C-42B6-83A3-053EF3488847}" cache="Slicer_Region" caption="Region" rowHeight="241300"/>
  <slicer name="Year 1" xr10:uid="{0C8B7541-5A16-4C27-B10A-EACDF69F9403}"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715" totalsRowShown="0">
  <autoFilter ref="A1:I715" xr:uid="{00000000-0009-0000-0100-000001000000}"/>
  <tableColumns count="9">
    <tableColumn id="1" xr3:uid="{00000000-0010-0000-0000-000001000000}" name="Date"/>
    <tableColumn id="2" xr3:uid="{00000000-0010-0000-0000-000002000000}" name="Client"/>
    <tableColumn id="3" xr3:uid="{00000000-0010-0000-0000-000003000000}" name="Region"/>
    <tableColumn id="4" xr3:uid="{00000000-0010-0000-0000-000004000000}" name="Month"/>
    <tableColumn id="5" xr3:uid="{00000000-0010-0000-0000-000005000000}" name="Year"/>
    <tableColumn id="6" xr3:uid="{00000000-0010-0000-0000-000006000000}" name="Quarter"/>
    <tableColumn id="7" xr3:uid="{00000000-0010-0000-0000-000007000000}" name="Amount"/>
    <tableColumn id="8" xr3:uid="{00000000-0010-0000-0000-000008000000}" name="YearQuarter"/>
    <tableColumn id="9" xr3:uid="{00000000-0010-0000-0000-000009000000}" name="PartialYear"/>
  </tableColumns>
  <tableStyleInfo showFirstColumn="0" showLastColumn="0" showRowStripes="1" showColumnStripes="0"/>
</table>
</file>

<file path=xl/theme/theme1.xml><?xml version="1.0" encoding="utf-8"?>
<a:theme xmlns:a="http://schemas.openxmlformats.org/drawingml/2006/main" name="Office Theme">
  <a:themeElements>
    <a:clrScheme name="Sales Analysis Theme">
      <a:dk1>
        <a:srgbClr val="000000"/>
      </a:dk1>
      <a:lt1>
        <a:srgbClr val="FFFFFF"/>
      </a:lt1>
      <a:dk2>
        <a:srgbClr val="1F497D"/>
      </a:dk2>
      <a:lt2>
        <a:srgbClr val="EEECE1"/>
      </a:lt2>
      <a:accent1>
        <a:srgbClr val="1B3A5C"/>
      </a:accent1>
      <a:accent2>
        <a:srgbClr val="E8A33D"/>
      </a:accent2>
      <a:accent3>
        <a:srgbClr val="4C7A9C"/>
      </a:accent3>
      <a:accent4>
        <a:srgbClr val="8C9BA5"/>
      </a:accent4>
      <a:accent5>
        <a:srgbClr val="DCE6EC"/>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5"/>
  <sheetViews>
    <sheetView zoomScaleNormal="100" workbookViewId="0">
      <pane ySplit="1" topLeftCell="A698" activePane="bottomLeft" state="frozen"/>
      <selection pane="bottomLeft" activeCell="J706" sqref="J706"/>
    </sheetView>
  </sheetViews>
  <sheetFormatPr defaultColWidth="8.6328125" defaultRowHeight="14.5" x14ac:dyDescent="0.35"/>
  <cols>
    <col min="1" max="1" width="12" customWidth="1"/>
    <col min="2" max="2" width="20" customWidth="1"/>
    <col min="3" max="4" width="10" customWidth="1"/>
    <col min="5" max="5" width="7" customWidth="1"/>
    <col min="6" max="6" width="9" customWidth="1"/>
    <col min="7" max="7" width="16.08984375" customWidth="1"/>
    <col min="8" max="9" width="12" customWidth="1"/>
  </cols>
  <sheetData>
    <row r="1" spans="1:9" ht="15" customHeight="1" x14ac:dyDescent="0.35">
      <c r="A1" s="1" t="s">
        <v>0</v>
      </c>
      <c r="B1" s="1" t="s">
        <v>1</v>
      </c>
      <c r="C1" s="1" t="s">
        <v>2</v>
      </c>
      <c r="D1" s="1" t="s">
        <v>3</v>
      </c>
      <c r="E1" s="1" t="s">
        <v>4</v>
      </c>
      <c r="F1" s="1" t="s">
        <v>5</v>
      </c>
      <c r="G1" s="1" t="s">
        <v>6</v>
      </c>
      <c r="H1" s="1" t="s">
        <v>7</v>
      </c>
      <c r="I1" s="1" t="s">
        <v>8</v>
      </c>
    </row>
    <row r="2" spans="1:9" ht="15" customHeight="1" x14ac:dyDescent="0.35">
      <c r="A2" s="2" t="s">
        <v>9</v>
      </c>
      <c r="B2" s="2" t="s">
        <v>10</v>
      </c>
      <c r="C2" s="2" t="s">
        <v>11</v>
      </c>
      <c r="D2" s="2" t="s">
        <v>12</v>
      </c>
      <c r="E2" s="2">
        <v>2019</v>
      </c>
      <c r="F2" s="2" t="s">
        <v>13</v>
      </c>
      <c r="G2" s="3">
        <v>1741089</v>
      </c>
      <c r="H2" s="2" t="str">
        <f t="shared" ref="H2:H65" si="0">E2&amp;"-"&amp;F2</f>
        <v>2019-Q3</v>
      </c>
      <c r="I2" s="2" t="str">
        <f t="shared" ref="I2:I65" si="1">IF(E2=2019,"Yes","No")</f>
        <v>Yes</v>
      </c>
    </row>
    <row r="3" spans="1:9" ht="15" customHeight="1" x14ac:dyDescent="0.35">
      <c r="A3" s="2" t="s">
        <v>14</v>
      </c>
      <c r="B3" s="2" t="s">
        <v>15</v>
      </c>
      <c r="C3" s="2" t="s">
        <v>16</v>
      </c>
      <c r="D3" s="2" t="s">
        <v>12</v>
      </c>
      <c r="E3" s="2">
        <v>2019</v>
      </c>
      <c r="F3" s="2" t="s">
        <v>13</v>
      </c>
      <c r="G3" s="3">
        <v>514989</v>
      </c>
      <c r="H3" s="2" t="str">
        <f t="shared" si="0"/>
        <v>2019-Q3</v>
      </c>
      <c r="I3" s="2" t="str">
        <f t="shared" si="1"/>
        <v>Yes</v>
      </c>
    </row>
    <row r="4" spans="1:9" ht="15" customHeight="1" x14ac:dyDescent="0.35">
      <c r="A4" s="2" t="s">
        <v>17</v>
      </c>
      <c r="B4" s="2" t="s">
        <v>18</v>
      </c>
      <c r="C4" s="2" t="s">
        <v>16</v>
      </c>
      <c r="D4" s="2" t="s">
        <v>12</v>
      </c>
      <c r="E4" s="2">
        <v>2019</v>
      </c>
      <c r="F4" s="2" t="s">
        <v>13</v>
      </c>
      <c r="G4" s="3">
        <v>230071</v>
      </c>
      <c r="H4" s="2" t="str">
        <f t="shared" si="0"/>
        <v>2019-Q3</v>
      </c>
      <c r="I4" s="2" t="str">
        <f t="shared" si="1"/>
        <v>Yes</v>
      </c>
    </row>
    <row r="5" spans="1:9" ht="15" customHeight="1" x14ac:dyDescent="0.35">
      <c r="A5" s="2" t="s">
        <v>19</v>
      </c>
      <c r="B5" s="2" t="s">
        <v>20</v>
      </c>
      <c r="C5" s="2" t="s">
        <v>21</v>
      </c>
      <c r="D5" s="2" t="s">
        <v>22</v>
      </c>
      <c r="E5" s="2">
        <v>2019</v>
      </c>
      <c r="F5" s="2" t="s">
        <v>13</v>
      </c>
      <c r="G5" s="3">
        <v>1148912</v>
      </c>
      <c r="H5" s="2" t="str">
        <f t="shared" si="0"/>
        <v>2019-Q3</v>
      </c>
      <c r="I5" s="2" t="str">
        <f t="shared" si="1"/>
        <v>Yes</v>
      </c>
    </row>
    <row r="6" spans="1:9" ht="15" customHeight="1" x14ac:dyDescent="0.35">
      <c r="A6" s="2" t="s">
        <v>23</v>
      </c>
      <c r="B6" s="2" t="s">
        <v>24</v>
      </c>
      <c r="C6" s="2" t="s">
        <v>25</v>
      </c>
      <c r="D6" s="2" t="s">
        <v>22</v>
      </c>
      <c r="E6" s="2">
        <v>2019</v>
      </c>
      <c r="F6" s="2" t="s">
        <v>13</v>
      </c>
      <c r="G6" s="3">
        <v>405991</v>
      </c>
      <c r="H6" s="2" t="str">
        <f t="shared" si="0"/>
        <v>2019-Q3</v>
      </c>
      <c r="I6" s="2" t="str">
        <f t="shared" si="1"/>
        <v>Yes</v>
      </c>
    </row>
    <row r="7" spans="1:9" ht="15" customHeight="1" x14ac:dyDescent="0.35">
      <c r="A7" s="2" t="s">
        <v>26</v>
      </c>
      <c r="B7" s="2" t="s">
        <v>27</v>
      </c>
      <c r="C7" s="2" t="s">
        <v>11</v>
      </c>
      <c r="D7" s="2" t="s">
        <v>22</v>
      </c>
      <c r="E7" s="2">
        <v>2019</v>
      </c>
      <c r="F7" s="2" t="s">
        <v>13</v>
      </c>
      <c r="G7" s="3">
        <v>191708</v>
      </c>
      <c r="H7" s="2" t="str">
        <f t="shared" si="0"/>
        <v>2019-Q3</v>
      </c>
      <c r="I7" s="2" t="str">
        <f t="shared" si="1"/>
        <v>Yes</v>
      </c>
    </row>
    <row r="8" spans="1:9" ht="15" customHeight="1" x14ac:dyDescent="0.35">
      <c r="A8" s="2" t="s">
        <v>28</v>
      </c>
      <c r="B8" s="2" t="s">
        <v>29</v>
      </c>
      <c r="C8" s="2" t="s">
        <v>11</v>
      </c>
      <c r="D8" s="2" t="s">
        <v>22</v>
      </c>
      <c r="E8" s="2">
        <v>2019</v>
      </c>
      <c r="F8" s="2" t="s">
        <v>13</v>
      </c>
      <c r="G8" s="3">
        <v>1757908</v>
      </c>
      <c r="H8" s="2" t="str">
        <f t="shared" si="0"/>
        <v>2019-Q3</v>
      </c>
      <c r="I8" s="2" t="str">
        <f t="shared" si="1"/>
        <v>Yes</v>
      </c>
    </row>
    <row r="9" spans="1:9" ht="15" customHeight="1" x14ac:dyDescent="0.35">
      <c r="A9" s="2" t="s">
        <v>30</v>
      </c>
      <c r="B9" s="2" t="s">
        <v>27</v>
      </c>
      <c r="C9" s="2" t="s">
        <v>16</v>
      </c>
      <c r="D9" s="2" t="s">
        <v>31</v>
      </c>
      <c r="E9" s="2">
        <v>2019</v>
      </c>
      <c r="F9" s="2" t="s">
        <v>13</v>
      </c>
      <c r="G9" s="3">
        <v>1209282</v>
      </c>
      <c r="H9" s="2" t="str">
        <f t="shared" si="0"/>
        <v>2019-Q3</v>
      </c>
      <c r="I9" s="2" t="str">
        <f t="shared" si="1"/>
        <v>Yes</v>
      </c>
    </row>
    <row r="10" spans="1:9" ht="15" customHeight="1" x14ac:dyDescent="0.35">
      <c r="A10" s="2" t="s">
        <v>32</v>
      </c>
      <c r="B10" s="2" t="s">
        <v>24</v>
      </c>
      <c r="C10" s="2" t="s">
        <v>25</v>
      </c>
      <c r="D10" s="2" t="s">
        <v>31</v>
      </c>
      <c r="E10" s="2">
        <v>2019</v>
      </c>
      <c r="F10" s="2" t="s">
        <v>13</v>
      </c>
      <c r="G10" s="3">
        <v>1581662</v>
      </c>
      <c r="H10" s="2" t="str">
        <f t="shared" si="0"/>
        <v>2019-Q3</v>
      </c>
      <c r="I10" s="2" t="str">
        <f t="shared" si="1"/>
        <v>Yes</v>
      </c>
    </row>
    <row r="11" spans="1:9" ht="15" customHeight="1" x14ac:dyDescent="0.35">
      <c r="A11" s="2" t="s">
        <v>33</v>
      </c>
      <c r="B11" s="2" t="s">
        <v>24</v>
      </c>
      <c r="C11" s="2" t="s">
        <v>11</v>
      </c>
      <c r="D11" s="2" t="s">
        <v>34</v>
      </c>
      <c r="E11" s="2">
        <v>2019</v>
      </c>
      <c r="F11" s="2" t="s">
        <v>35</v>
      </c>
      <c r="G11" s="3">
        <v>376043</v>
      </c>
      <c r="H11" s="2" t="str">
        <f t="shared" si="0"/>
        <v>2019-Q4</v>
      </c>
      <c r="I11" s="2" t="str">
        <f t="shared" si="1"/>
        <v>Yes</v>
      </c>
    </row>
    <row r="12" spans="1:9" ht="15" customHeight="1" x14ac:dyDescent="0.35">
      <c r="A12" s="2" t="s">
        <v>36</v>
      </c>
      <c r="B12" s="2" t="s">
        <v>18</v>
      </c>
      <c r="C12" s="2" t="s">
        <v>16</v>
      </c>
      <c r="D12" s="2" t="s">
        <v>34</v>
      </c>
      <c r="E12" s="2">
        <v>2019</v>
      </c>
      <c r="F12" s="2" t="s">
        <v>35</v>
      </c>
      <c r="G12" s="3">
        <v>1978299</v>
      </c>
      <c r="H12" s="2" t="str">
        <f t="shared" si="0"/>
        <v>2019-Q4</v>
      </c>
      <c r="I12" s="2" t="str">
        <f t="shared" si="1"/>
        <v>Yes</v>
      </c>
    </row>
    <row r="13" spans="1:9" ht="15" customHeight="1" x14ac:dyDescent="0.35">
      <c r="A13" s="2" t="s">
        <v>37</v>
      </c>
      <c r="B13" s="2" t="s">
        <v>18</v>
      </c>
      <c r="C13" s="2" t="s">
        <v>11</v>
      </c>
      <c r="D13" s="2" t="s">
        <v>38</v>
      </c>
      <c r="E13" s="2">
        <v>2019</v>
      </c>
      <c r="F13" s="2" t="s">
        <v>35</v>
      </c>
      <c r="G13" s="3">
        <v>914785</v>
      </c>
      <c r="H13" s="2" t="str">
        <f t="shared" si="0"/>
        <v>2019-Q4</v>
      </c>
      <c r="I13" s="2" t="str">
        <f t="shared" si="1"/>
        <v>Yes</v>
      </c>
    </row>
    <row r="14" spans="1:9" ht="15" customHeight="1" x14ac:dyDescent="0.35">
      <c r="A14" s="2" t="s">
        <v>39</v>
      </c>
      <c r="B14" s="2" t="s">
        <v>18</v>
      </c>
      <c r="C14" s="2" t="s">
        <v>16</v>
      </c>
      <c r="D14" s="2" t="s">
        <v>38</v>
      </c>
      <c r="E14" s="2">
        <v>2019</v>
      </c>
      <c r="F14" s="2" t="s">
        <v>35</v>
      </c>
      <c r="G14" s="3">
        <v>1711222</v>
      </c>
      <c r="H14" s="2" t="str">
        <f t="shared" si="0"/>
        <v>2019-Q4</v>
      </c>
      <c r="I14" s="2" t="str">
        <f t="shared" si="1"/>
        <v>Yes</v>
      </c>
    </row>
    <row r="15" spans="1:9" ht="15" customHeight="1" x14ac:dyDescent="0.35">
      <c r="A15" s="2" t="s">
        <v>40</v>
      </c>
      <c r="B15" s="2" t="s">
        <v>18</v>
      </c>
      <c r="C15" s="2" t="s">
        <v>11</v>
      </c>
      <c r="D15" s="2" t="s">
        <v>38</v>
      </c>
      <c r="E15" s="2">
        <v>2019</v>
      </c>
      <c r="F15" s="2" t="s">
        <v>35</v>
      </c>
      <c r="G15" s="3">
        <v>407874</v>
      </c>
      <c r="H15" s="2" t="str">
        <f t="shared" si="0"/>
        <v>2019-Q4</v>
      </c>
      <c r="I15" s="2" t="str">
        <f t="shared" si="1"/>
        <v>Yes</v>
      </c>
    </row>
    <row r="16" spans="1:9" ht="15" customHeight="1" x14ac:dyDescent="0.35">
      <c r="A16" s="2" t="s">
        <v>41</v>
      </c>
      <c r="B16" s="2" t="s">
        <v>18</v>
      </c>
      <c r="C16" s="2" t="s">
        <v>25</v>
      </c>
      <c r="D16" s="2" t="s">
        <v>38</v>
      </c>
      <c r="E16" s="2">
        <v>2019</v>
      </c>
      <c r="F16" s="2" t="s">
        <v>35</v>
      </c>
      <c r="G16" s="3">
        <v>1257231</v>
      </c>
      <c r="H16" s="2" t="str">
        <f t="shared" si="0"/>
        <v>2019-Q4</v>
      </c>
      <c r="I16" s="2" t="str">
        <f t="shared" si="1"/>
        <v>Yes</v>
      </c>
    </row>
    <row r="17" spans="1:9" ht="15" customHeight="1" x14ac:dyDescent="0.35">
      <c r="A17" s="2" t="s">
        <v>42</v>
      </c>
      <c r="B17" s="2" t="s">
        <v>18</v>
      </c>
      <c r="C17" s="2" t="s">
        <v>21</v>
      </c>
      <c r="D17" s="2" t="s">
        <v>38</v>
      </c>
      <c r="E17" s="2">
        <v>2019</v>
      </c>
      <c r="F17" s="2" t="s">
        <v>35</v>
      </c>
      <c r="G17" s="3">
        <v>589765</v>
      </c>
      <c r="H17" s="2" t="str">
        <f t="shared" si="0"/>
        <v>2019-Q4</v>
      </c>
      <c r="I17" s="2" t="str">
        <f t="shared" si="1"/>
        <v>Yes</v>
      </c>
    </row>
    <row r="18" spans="1:9" ht="15" customHeight="1" x14ac:dyDescent="0.35">
      <c r="A18" s="2" t="s">
        <v>43</v>
      </c>
      <c r="B18" s="2" t="s">
        <v>24</v>
      </c>
      <c r="C18" s="2" t="s">
        <v>21</v>
      </c>
      <c r="D18" s="2" t="s">
        <v>44</v>
      </c>
      <c r="E18" s="2">
        <v>2019</v>
      </c>
      <c r="F18" s="2" t="s">
        <v>35</v>
      </c>
      <c r="G18" s="3">
        <v>485286</v>
      </c>
      <c r="H18" s="2" t="str">
        <f t="shared" si="0"/>
        <v>2019-Q4</v>
      </c>
      <c r="I18" s="2" t="str">
        <f t="shared" si="1"/>
        <v>Yes</v>
      </c>
    </row>
    <row r="19" spans="1:9" ht="15" customHeight="1" x14ac:dyDescent="0.35">
      <c r="A19" s="2" t="s">
        <v>45</v>
      </c>
      <c r="B19" s="2" t="s">
        <v>24</v>
      </c>
      <c r="C19" s="2" t="s">
        <v>21</v>
      </c>
      <c r="D19" s="2" t="s">
        <v>44</v>
      </c>
      <c r="E19" s="2">
        <v>2019</v>
      </c>
      <c r="F19" s="2" t="s">
        <v>35</v>
      </c>
      <c r="G19" s="3">
        <v>467422</v>
      </c>
      <c r="H19" s="2" t="str">
        <f t="shared" si="0"/>
        <v>2019-Q4</v>
      </c>
      <c r="I19" s="2" t="str">
        <f t="shared" si="1"/>
        <v>Yes</v>
      </c>
    </row>
    <row r="20" spans="1:9" ht="15" customHeight="1" x14ac:dyDescent="0.35">
      <c r="A20" s="2" t="s">
        <v>46</v>
      </c>
      <c r="B20" s="2" t="s">
        <v>24</v>
      </c>
      <c r="C20" s="2" t="s">
        <v>16</v>
      </c>
      <c r="D20" s="2" t="s">
        <v>44</v>
      </c>
      <c r="E20" s="2">
        <v>2019</v>
      </c>
      <c r="F20" s="2" t="s">
        <v>35</v>
      </c>
      <c r="G20" s="3">
        <v>1838220</v>
      </c>
      <c r="H20" s="2" t="str">
        <f t="shared" si="0"/>
        <v>2019-Q4</v>
      </c>
      <c r="I20" s="2" t="str">
        <f t="shared" si="1"/>
        <v>Yes</v>
      </c>
    </row>
    <row r="21" spans="1:9" ht="15" customHeight="1" x14ac:dyDescent="0.35">
      <c r="A21" s="2" t="s">
        <v>47</v>
      </c>
      <c r="B21" s="2" t="s">
        <v>24</v>
      </c>
      <c r="C21" s="2" t="s">
        <v>16</v>
      </c>
      <c r="D21" s="2" t="s">
        <v>48</v>
      </c>
      <c r="E21" s="2">
        <v>2020</v>
      </c>
      <c r="F21" s="2" t="s">
        <v>49</v>
      </c>
      <c r="G21" s="3">
        <v>564927</v>
      </c>
      <c r="H21" s="2" t="str">
        <f t="shared" si="0"/>
        <v>2020-Q1</v>
      </c>
      <c r="I21" s="2" t="str">
        <f t="shared" si="1"/>
        <v>No</v>
      </c>
    </row>
    <row r="22" spans="1:9" ht="15" customHeight="1" x14ac:dyDescent="0.35">
      <c r="A22" s="2" t="s">
        <v>50</v>
      </c>
      <c r="B22" s="2" t="s">
        <v>24</v>
      </c>
      <c r="C22" s="2" t="s">
        <v>11</v>
      </c>
      <c r="D22" s="2" t="s">
        <v>48</v>
      </c>
      <c r="E22" s="2">
        <v>2020</v>
      </c>
      <c r="F22" s="2" t="s">
        <v>49</v>
      </c>
      <c r="G22" s="3">
        <v>239424</v>
      </c>
      <c r="H22" s="2" t="str">
        <f t="shared" si="0"/>
        <v>2020-Q1</v>
      </c>
      <c r="I22" s="2" t="str">
        <f t="shared" si="1"/>
        <v>No</v>
      </c>
    </row>
    <row r="23" spans="1:9" ht="15" customHeight="1" x14ac:dyDescent="0.35">
      <c r="A23" s="2" t="s">
        <v>50</v>
      </c>
      <c r="B23" s="2" t="s">
        <v>24</v>
      </c>
      <c r="C23" s="2" t="s">
        <v>16</v>
      </c>
      <c r="D23" s="2" t="s">
        <v>48</v>
      </c>
      <c r="E23" s="2">
        <v>2020</v>
      </c>
      <c r="F23" s="2" t="s">
        <v>49</v>
      </c>
      <c r="G23" s="3">
        <v>774500</v>
      </c>
      <c r="H23" s="2" t="str">
        <f t="shared" si="0"/>
        <v>2020-Q1</v>
      </c>
      <c r="I23" s="2" t="str">
        <f t="shared" si="1"/>
        <v>No</v>
      </c>
    </row>
    <row r="24" spans="1:9" ht="15" customHeight="1" x14ac:dyDescent="0.35">
      <c r="A24" s="2" t="s">
        <v>50</v>
      </c>
      <c r="B24" s="2" t="s">
        <v>24</v>
      </c>
      <c r="C24" s="2" t="s">
        <v>11</v>
      </c>
      <c r="D24" s="2" t="s">
        <v>48</v>
      </c>
      <c r="E24" s="2">
        <v>2020</v>
      </c>
      <c r="F24" s="2" t="s">
        <v>49</v>
      </c>
      <c r="G24" s="3">
        <v>1096869</v>
      </c>
      <c r="H24" s="2" t="str">
        <f t="shared" si="0"/>
        <v>2020-Q1</v>
      </c>
      <c r="I24" s="2" t="str">
        <f t="shared" si="1"/>
        <v>No</v>
      </c>
    </row>
    <row r="25" spans="1:9" ht="15" customHeight="1" x14ac:dyDescent="0.35">
      <c r="A25" s="2" t="s">
        <v>51</v>
      </c>
      <c r="B25" s="2" t="s">
        <v>24</v>
      </c>
      <c r="C25" s="2" t="s">
        <v>11</v>
      </c>
      <c r="D25" s="2" t="s">
        <v>48</v>
      </c>
      <c r="E25" s="2">
        <v>2020</v>
      </c>
      <c r="F25" s="2" t="s">
        <v>49</v>
      </c>
      <c r="G25" s="3">
        <v>1862557</v>
      </c>
      <c r="H25" s="2" t="str">
        <f t="shared" si="0"/>
        <v>2020-Q1</v>
      </c>
      <c r="I25" s="2" t="str">
        <f t="shared" si="1"/>
        <v>No</v>
      </c>
    </row>
    <row r="26" spans="1:9" ht="15" customHeight="1" x14ac:dyDescent="0.35">
      <c r="A26" s="2" t="s">
        <v>52</v>
      </c>
      <c r="B26" s="2" t="s">
        <v>24</v>
      </c>
      <c r="C26" s="2" t="s">
        <v>21</v>
      </c>
      <c r="D26" s="2" t="s">
        <v>48</v>
      </c>
      <c r="E26" s="2">
        <v>2020</v>
      </c>
      <c r="F26" s="2" t="s">
        <v>49</v>
      </c>
      <c r="G26" s="3">
        <v>1437017</v>
      </c>
      <c r="H26" s="2" t="str">
        <f t="shared" si="0"/>
        <v>2020-Q1</v>
      </c>
      <c r="I26" s="2" t="str">
        <f t="shared" si="1"/>
        <v>No</v>
      </c>
    </row>
    <row r="27" spans="1:9" ht="15" customHeight="1" x14ac:dyDescent="0.35">
      <c r="A27" s="2" t="s">
        <v>52</v>
      </c>
      <c r="B27" s="2" t="s">
        <v>24</v>
      </c>
      <c r="C27" s="2" t="s">
        <v>11</v>
      </c>
      <c r="D27" s="2" t="s">
        <v>48</v>
      </c>
      <c r="E27" s="2">
        <v>2020</v>
      </c>
      <c r="F27" s="2" t="s">
        <v>49</v>
      </c>
      <c r="G27" s="3">
        <v>1848717</v>
      </c>
      <c r="H27" s="2" t="str">
        <f t="shared" si="0"/>
        <v>2020-Q1</v>
      </c>
      <c r="I27" s="2" t="str">
        <f t="shared" si="1"/>
        <v>No</v>
      </c>
    </row>
    <row r="28" spans="1:9" ht="15" customHeight="1" x14ac:dyDescent="0.35">
      <c r="A28" s="2" t="s">
        <v>53</v>
      </c>
      <c r="B28" s="2" t="s">
        <v>27</v>
      </c>
      <c r="C28" s="2" t="s">
        <v>16</v>
      </c>
      <c r="D28" s="2" t="s">
        <v>48</v>
      </c>
      <c r="E28" s="2">
        <v>2020</v>
      </c>
      <c r="F28" s="2" t="s">
        <v>49</v>
      </c>
      <c r="G28" s="3">
        <v>1933018</v>
      </c>
      <c r="H28" s="2" t="str">
        <f t="shared" si="0"/>
        <v>2020-Q1</v>
      </c>
      <c r="I28" s="2" t="str">
        <f t="shared" si="1"/>
        <v>No</v>
      </c>
    </row>
    <row r="29" spans="1:9" ht="15" customHeight="1" x14ac:dyDescent="0.35">
      <c r="A29" s="2" t="s">
        <v>53</v>
      </c>
      <c r="B29" s="2" t="s">
        <v>27</v>
      </c>
      <c r="C29" s="2" t="s">
        <v>11</v>
      </c>
      <c r="D29" s="2" t="s">
        <v>48</v>
      </c>
      <c r="E29" s="2">
        <v>2020</v>
      </c>
      <c r="F29" s="2" t="s">
        <v>49</v>
      </c>
      <c r="G29" s="3">
        <v>1987908</v>
      </c>
      <c r="H29" s="2" t="str">
        <f t="shared" si="0"/>
        <v>2020-Q1</v>
      </c>
      <c r="I29" s="2" t="str">
        <f t="shared" si="1"/>
        <v>No</v>
      </c>
    </row>
    <row r="30" spans="1:9" ht="15" customHeight="1" x14ac:dyDescent="0.35">
      <c r="A30" s="2" t="s">
        <v>54</v>
      </c>
      <c r="B30" s="2" t="s">
        <v>27</v>
      </c>
      <c r="C30" s="2" t="s">
        <v>25</v>
      </c>
      <c r="D30" s="2" t="s">
        <v>48</v>
      </c>
      <c r="E30" s="2">
        <v>2020</v>
      </c>
      <c r="F30" s="2" t="s">
        <v>49</v>
      </c>
      <c r="G30" s="3">
        <v>1750150</v>
      </c>
      <c r="H30" s="2" t="str">
        <f t="shared" si="0"/>
        <v>2020-Q1</v>
      </c>
      <c r="I30" s="2" t="str">
        <f t="shared" si="1"/>
        <v>No</v>
      </c>
    </row>
    <row r="31" spans="1:9" ht="15" customHeight="1" x14ac:dyDescent="0.35">
      <c r="A31" s="2" t="s">
        <v>54</v>
      </c>
      <c r="B31" s="2" t="s">
        <v>27</v>
      </c>
      <c r="C31" s="2" t="s">
        <v>25</v>
      </c>
      <c r="D31" s="2" t="s">
        <v>48</v>
      </c>
      <c r="E31" s="2">
        <v>2020</v>
      </c>
      <c r="F31" s="2" t="s">
        <v>49</v>
      </c>
      <c r="G31" s="3">
        <v>1264058</v>
      </c>
      <c r="H31" s="2" t="str">
        <f t="shared" si="0"/>
        <v>2020-Q1</v>
      </c>
      <c r="I31" s="2" t="str">
        <f t="shared" si="1"/>
        <v>No</v>
      </c>
    </row>
    <row r="32" spans="1:9" ht="15" customHeight="1" x14ac:dyDescent="0.35">
      <c r="A32" s="2" t="s">
        <v>55</v>
      </c>
      <c r="B32" s="2" t="s">
        <v>27</v>
      </c>
      <c r="C32" s="2" t="s">
        <v>16</v>
      </c>
      <c r="D32" s="2" t="s">
        <v>48</v>
      </c>
      <c r="E32" s="2">
        <v>2020</v>
      </c>
      <c r="F32" s="2" t="s">
        <v>49</v>
      </c>
      <c r="G32" s="3">
        <v>391699</v>
      </c>
      <c r="H32" s="2" t="str">
        <f t="shared" si="0"/>
        <v>2020-Q1</v>
      </c>
      <c r="I32" s="2" t="str">
        <f t="shared" si="1"/>
        <v>No</v>
      </c>
    </row>
    <row r="33" spans="1:9" ht="15" customHeight="1" x14ac:dyDescent="0.35">
      <c r="A33" s="2" t="s">
        <v>55</v>
      </c>
      <c r="B33" s="2" t="s">
        <v>27</v>
      </c>
      <c r="C33" s="2" t="s">
        <v>11</v>
      </c>
      <c r="D33" s="2" t="s">
        <v>48</v>
      </c>
      <c r="E33" s="2">
        <v>2020</v>
      </c>
      <c r="F33" s="2" t="s">
        <v>49</v>
      </c>
      <c r="G33" s="3">
        <v>1495289</v>
      </c>
      <c r="H33" s="2" t="str">
        <f t="shared" si="0"/>
        <v>2020-Q1</v>
      </c>
      <c r="I33" s="2" t="str">
        <f t="shared" si="1"/>
        <v>No</v>
      </c>
    </row>
    <row r="34" spans="1:9" ht="15" customHeight="1" x14ac:dyDescent="0.35">
      <c r="A34" s="2" t="s">
        <v>56</v>
      </c>
      <c r="B34" s="2" t="s">
        <v>27</v>
      </c>
      <c r="C34" s="2" t="s">
        <v>11</v>
      </c>
      <c r="D34" s="2" t="s">
        <v>48</v>
      </c>
      <c r="E34" s="2">
        <v>2020</v>
      </c>
      <c r="F34" s="2" t="s">
        <v>49</v>
      </c>
      <c r="G34" s="3">
        <v>1958181</v>
      </c>
      <c r="H34" s="2" t="str">
        <f t="shared" si="0"/>
        <v>2020-Q1</v>
      </c>
      <c r="I34" s="2" t="str">
        <f t="shared" si="1"/>
        <v>No</v>
      </c>
    </row>
    <row r="35" spans="1:9" ht="15" customHeight="1" x14ac:dyDescent="0.35">
      <c r="A35" s="2" t="s">
        <v>57</v>
      </c>
      <c r="B35" s="2" t="s">
        <v>27</v>
      </c>
      <c r="C35" s="2" t="s">
        <v>21</v>
      </c>
      <c r="D35" s="2" t="s">
        <v>48</v>
      </c>
      <c r="E35" s="2">
        <v>2020</v>
      </c>
      <c r="F35" s="2" t="s">
        <v>49</v>
      </c>
      <c r="G35" s="3">
        <v>1766994</v>
      </c>
      <c r="H35" s="2" t="str">
        <f t="shared" si="0"/>
        <v>2020-Q1</v>
      </c>
      <c r="I35" s="2" t="str">
        <f t="shared" si="1"/>
        <v>No</v>
      </c>
    </row>
    <row r="36" spans="1:9" ht="15" customHeight="1" x14ac:dyDescent="0.35">
      <c r="A36" s="2" t="s">
        <v>57</v>
      </c>
      <c r="B36" s="2" t="s">
        <v>27</v>
      </c>
      <c r="C36" s="2" t="s">
        <v>21</v>
      </c>
      <c r="D36" s="2" t="s">
        <v>48</v>
      </c>
      <c r="E36" s="2">
        <v>2020</v>
      </c>
      <c r="F36" s="2" t="s">
        <v>49</v>
      </c>
      <c r="G36" s="3">
        <v>877778</v>
      </c>
      <c r="H36" s="2" t="str">
        <f t="shared" si="0"/>
        <v>2020-Q1</v>
      </c>
      <c r="I36" s="2" t="str">
        <f t="shared" si="1"/>
        <v>No</v>
      </c>
    </row>
    <row r="37" spans="1:9" ht="15" customHeight="1" x14ac:dyDescent="0.35">
      <c r="A37" s="2" t="s">
        <v>57</v>
      </c>
      <c r="B37" s="2" t="s">
        <v>27</v>
      </c>
      <c r="C37" s="2" t="s">
        <v>21</v>
      </c>
      <c r="D37" s="2" t="s">
        <v>48</v>
      </c>
      <c r="E37" s="2">
        <v>2020</v>
      </c>
      <c r="F37" s="2" t="s">
        <v>49</v>
      </c>
      <c r="G37" s="3">
        <v>1366272</v>
      </c>
      <c r="H37" s="2" t="str">
        <f t="shared" si="0"/>
        <v>2020-Q1</v>
      </c>
      <c r="I37" s="2" t="str">
        <f t="shared" si="1"/>
        <v>No</v>
      </c>
    </row>
    <row r="38" spans="1:9" ht="15" customHeight="1" x14ac:dyDescent="0.35">
      <c r="A38" s="2" t="s">
        <v>57</v>
      </c>
      <c r="B38" s="2" t="s">
        <v>20</v>
      </c>
      <c r="C38" s="2" t="s">
        <v>11</v>
      </c>
      <c r="D38" s="2" t="s">
        <v>48</v>
      </c>
      <c r="E38" s="2">
        <v>2020</v>
      </c>
      <c r="F38" s="2" t="s">
        <v>49</v>
      </c>
      <c r="G38" s="3">
        <v>1718743</v>
      </c>
      <c r="H38" s="2" t="str">
        <f t="shared" si="0"/>
        <v>2020-Q1</v>
      </c>
      <c r="I38" s="2" t="str">
        <f t="shared" si="1"/>
        <v>No</v>
      </c>
    </row>
    <row r="39" spans="1:9" ht="15" customHeight="1" x14ac:dyDescent="0.35">
      <c r="A39" s="2" t="s">
        <v>58</v>
      </c>
      <c r="B39" s="2" t="s">
        <v>20</v>
      </c>
      <c r="C39" s="2" t="s">
        <v>16</v>
      </c>
      <c r="D39" s="2" t="s">
        <v>48</v>
      </c>
      <c r="E39" s="2">
        <v>2020</v>
      </c>
      <c r="F39" s="2" t="s">
        <v>49</v>
      </c>
      <c r="G39" s="3">
        <v>538621</v>
      </c>
      <c r="H39" s="2" t="str">
        <f t="shared" si="0"/>
        <v>2020-Q1</v>
      </c>
      <c r="I39" s="2" t="str">
        <f t="shared" si="1"/>
        <v>No</v>
      </c>
    </row>
    <row r="40" spans="1:9" ht="15" customHeight="1" x14ac:dyDescent="0.35">
      <c r="A40" s="2" t="s">
        <v>59</v>
      </c>
      <c r="B40" s="2" t="s">
        <v>20</v>
      </c>
      <c r="C40" s="2" t="s">
        <v>25</v>
      </c>
      <c r="D40" s="2" t="s">
        <v>48</v>
      </c>
      <c r="E40" s="2">
        <v>2020</v>
      </c>
      <c r="F40" s="2" t="s">
        <v>49</v>
      </c>
      <c r="G40" s="3">
        <v>184900</v>
      </c>
      <c r="H40" s="2" t="str">
        <f t="shared" si="0"/>
        <v>2020-Q1</v>
      </c>
      <c r="I40" s="2" t="str">
        <f t="shared" si="1"/>
        <v>No</v>
      </c>
    </row>
    <row r="41" spans="1:9" ht="15" customHeight="1" x14ac:dyDescent="0.35">
      <c r="A41" s="2" t="s">
        <v>60</v>
      </c>
      <c r="B41" s="2" t="s">
        <v>20</v>
      </c>
      <c r="C41" s="2" t="s">
        <v>11</v>
      </c>
      <c r="D41" s="2" t="s">
        <v>48</v>
      </c>
      <c r="E41" s="2">
        <v>2020</v>
      </c>
      <c r="F41" s="2" t="s">
        <v>49</v>
      </c>
      <c r="G41" s="3">
        <v>1598219</v>
      </c>
      <c r="H41" s="2" t="str">
        <f t="shared" si="0"/>
        <v>2020-Q1</v>
      </c>
      <c r="I41" s="2" t="str">
        <f t="shared" si="1"/>
        <v>No</v>
      </c>
    </row>
    <row r="42" spans="1:9" ht="15" customHeight="1" x14ac:dyDescent="0.35">
      <c r="A42" s="2" t="s">
        <v>61</v>
      </c>
      <c r="B42" s="2" t="s">
        <v>24</v>
      </c>
      <c r="C42" s="2" t="s">
        <v>21</v>
      </c>
      <c r="D42" s="2" t="s">
        <v>48</v>
      </c>
      <c r="E42" s="2">
        <v>2020</v>
      </c>
      <c r="F42" s="2" t="s">
        <v>49</v>
      </c>
      <c r="G42" s="3">
        <v>1370705</v>
      </c>
      <c r="H42" s="2" t="str">
        <f t="shared" si="0"/>
        <v>2020-Q1</v>
      </c>
      <c r="I42" s="2" t="str">
        <f t="shared" si="1"/>
        <v>No</v>
      </c>
    </row>
    <row r="43" spans="1:9" ht="15" customHeight="1" x14ac:dyDescent="0.35">
      <c r="A43" s="2" t="s">
        <v>62</v>
      </c>
      <c r="B43" s="2" t="s">
        <v>27</v>
      </c>
      <c r="C43" s="2" t="s">
        <v>21</v>
      </c>
      <c r="D43" s="2" t="s">
        <v>48</v>
      </c>
      <c r="E43" s="2">
        <v>2020</v>
      </c>
      <c r="F43" s="2" t="s">
        <v>49</v>
      </c>
      <c r="G43" s="3">
        <v>969025</v>
      </c>
      <c r="H43" s="2" t="str">
        <f t="shared" si="0"/>
        <v>2020-Q1</v>
      </c>
      <c r="I43" s="2" t="str">
        <f t="shared" si="1"/>
        <v>No</v>
      </c>
    </row>
    <row r="44" spans="1:9" ht="15" customHeight="1" x14ac:dyDescent="0.35">
      <c r="A44" s="2" t="s">
        <v>62</v>
      </c>
      <c r="B44" s="2" t="s">
        <v>20</v>
      </c>
      <c r="C44" s="2" t="s">
        <v>11</v>
      </c>
      <c r="D44" s="2" t="s">
        <v>48</v>
      </c>
      <c r="E44" s="2">
        <v>2020</v>
      </c>
      <c r="F44" s="2" t="s">
        <v>49</v>
      </c>
      <c r="G44" s="3">
        <v>1988680</v>
      </c>
      <c r="H44" s="2" t="str">
        <f t="shared" si="0"/>
        <v>2020-Q1</v>
      </c>
      <c r="I44" s="2" t="str">
        <f t="shared" si="1"/>
        <v>No</v>
      </c>
    </row>
    <row r="45" spans="1:9" ht="15" customHeight="1" x14ac:dyDescent="0.35">
      <c r="A45" s="2" t="s">
        <v>63</v>
      </c>
      <c r="B45" s="2" t="s">
        <v>20</v>
      </c>
      <c r="C45" s="2" t="s">
        <v>16</v>
      </c>
      <c r="D45" s="2" t="s">
        <v>48</v>
      </c>
      <c r="E45" s="2">
        <v>2020</v>
      </c>
      <c r="F45" s="2" t="s">
        <v>49</v>
      </c>
      <c r="G45" s="3">
        <v>1520170</v>
      </c>
      <c r="H45" s="2" t="str">
        <f t="shared" si="0"/>
        <v>2020-Q1</v>
      </c>
      <c r="I45" s="2" t="str">
        <f t="shared" si="1"/>
        <v>No</v>
      </c>
    </row>
    <row r="46" spans="1:9" ht="15" customHeight="1" x14ac:dyDescent="0.35">
      <c r="A46" s="2" t="s">
        <v>64</v>
      </c>
      <c r="B46" s="2" t="s">
        <v>24</v>
      </c>
      <c r="C46" s="2" t="s">
        <v>11</v>
      </c>
      <c r="D46" s="2" t="s">
        <v>48</v>
      </c>
      <c r="E46" s="2">
        <v>2020</v>
      </c>
      <c r="F46" s="2" t="s">
        <v>49</v>
      </c>
      <c r="G46" s="3">
        <v>1683109</v>
      </c>
      <c r="H46" s="2" t="str">
        <f t="shared" si="0"/>
        <v>2020-Q1</v>
      </c>
      <c r="I46" s="2" t="str">
        <f t="shared" si="1"/>
        <v>No</v>
      </c>
    </row>
    <row r="47" spans="1:9" ht="15" customHeight="1" x14ac:dyDescent="0.35">
      <c r="A47" s="2" t="s">
        <v>65</v>
      </c>
      <c r="B47" s="2" t="s">
        <v>20</v>
      </c>
      <c r="C47" s="2" t="s">
        <v>25</v>
      </c>
      <c r="D47" s="2" t="s">
        <v>66</v>
      </c>
      <c r="E47" s="2">
        <v>2020</v>
      </c>
      <c r="F47" s="2" t="s">
        <v>49</v>
      </c>
      <c r="G47" s="3">
        <v>756093</v>
      </c>
      <c r="H47" s="2" t="str">
        <f t="shared" si="0"/>
        <v>2020-Q1</v>
      </c>
      <c r="I47" s="2" t="str">
        <f t="shared" si="1"/>
        <v>No</v>
      </c>
    </row>
    <row r="48" spans="1:9" ht="15" customHeight="1" x14ac:dyDescent="0.35">
      <c r="A48" s="2" t="s">
        <v>67</v>
      </c>
      <c r="B48" s="2" t="s">
        <v>20</v>
      </c>
      <c r="C48" s="2" t="s">
        <v>11</v>
      </c>
      <c r="D48" s="2" t="s">
        <v>66</v>
      </c>
      <c r="E48" s="2">
        <v>2020</v>
      </c>
      <c r="F48" s="2" t="s">
        <v>49</v>
      </c>
      <c r="G48" s="3">
        <v>1635914</v>
      </c>
      <c r="H48" s="2" t="str">
        <f t="shared" si="0"/>
        <v>2020-Q1</v>
      </c>
      <c r="I48" s="2" t="str">
        <f t="shared" si="1"/>
        <v>No</v>
      </c>
    </row>
    <row r="49" spans="1:9" ht="15" customHeight="1" x14ac:dyDescent="0.35">
      <c r="A49" s="2" t="s">
        <v>68</v>
      </c>
      <c r="B49" s="2" t="s">
        <v>20</v>
      </c>
      <c r="C49" s="2" t="s">
        <v>16</v>
      </c>
      <c r="D49" s="2" t="s">
        <v>66</v>
      </c>
      <c r="E49" s="2">
        <v>2020</v>
      </c>
      <c r="F49" s="2" t="s">
        <v>49</v>
      </c>
      <c r="G49" s="3">
        <v>1704629</v>
      </c>
      <c r="H49" s="2" t="str">
        <f t="shared" si="0"/>
        <v>2020-Q1</v>
      </c>
      <c r="I49" s="2" t="str">
        <f t="shared" si="1"/>
        <v>No</v>
      </c>
    </row>
    <row r="50" spans="1:9" ht="15" customHeight="1" x14ac:dyDescent="0.35">
      <c r="A50" s="2" t="s">
        <v>69</v>
      </c>
      <c r="B50" s="2" t="s">
        <v>20</v>
      </c>
      <c r="C50" s="2" t="s">
        <v>11</v>
      </c>
      <c r="D50" s="2" t="s">
        <v>66</v>
      </c>
      <c r="E50" s="2">
        <v>2020</v>
      </c>
      <c r="F50" s="2" t="s">
        <v>49</v>
      </c>
      <c r="G50" s="3">
        <v>925137</v>
      </c>
      <c r="H50" s="2" t="str">
        <f t="shared" si="0"/>
        <v>2020-Q1</v>
      </c>
      <c r="I50" s="2" t="str">
        <f t="shared" si="1"/>
        <v>No</v>
      </c>
    </row>
    <row r="51" spans="1:9" ht="15" customHeight="1" x14ac:dyDescent="0.35">
      <c r="A51" s="2" t="s">
        <v>69</v>
      </c>
      <c r="B51" s="2" t="s">
        <v>20</v>
      </c>
      <c r="C51" s="2" t="s">
        <v>25</v>
      </c>
      <c r="D51" s="2" t="s">
        <v>66</v>
      </c>
      <c r="E51" s="2">
        <v>2020</v>
      </c>
      <c r="F51" s="2" t="s">
        <v>49</v>
      </c>
      <c r="G51" s="3">
        <v>1246174</v>
      </c>
      <c r="H51" s="2" t="str">
        <f t="shared" si="0"/>
        <v>2020-Q1</v>
      </c>
      <c r="I51" s="2" t="str">
        <f t="shared" si="1"/>
        <v>No</v>
      </c>
    </row>
    <row r="52" spans="1:9" ht="15" customHeight="1" x14ac:dyDescent="0.35">
      <c r="A52" s="2" t="s">
        <v>70</v>
      </c>
      <c r="B52" s="2" t="s">
        <v>20</v>
      </c>
      <c r="C52" s="2" t="s">
        <v>11</v>
      </c>
      <c r="D52" s="2" t="s">
        <v>66</v>
      </c>
      <c r="E52" s="2">
        <v>2020</v>
      </c>
      <c r="F52" s="2" t="s">
        <v>49</v>
      </c>
      <c r="G52" s="3">
        <v>576222</v>
      </c>
      <c r="H52" s="2" t="str">
        <f t="shared" si="0"/>
        <v>2020-Q1</v>
      </c>
      <c r="I52" s="2" t="str">
        <f t="shared" si="1"/>
        <v>No</v>
      </c>
    </row>
    <row r="53" spans="1:9" ht="15" customHeight="1" x14ac:dyDescent="0.35">
      <c r="A53" s="2" t="s">
        <v>71</v>
      </c>
      <c r="B53" s="2" t="s">
        <v>20</v>
      </c>
      <c r="C53" s="2" t="s">
        <v>21</v>
      </c>
      <c r="D53" s="2" t="s">
        <v>66</v>
      </c>
      <c r="E53" s="2">
        <v>2020</v>
      </c>
      <c r="F53" s="2" t="s">
        <v>49</v>
      </c>
      <c r="G53" s="3">
        <v>953291</v>
      </c>
      <c r="H53" s="2" t="str">
        <f t="shared" si="0"/>
        <v>2020-Q1</v>
      </c>
      <c r="I53" s="2" t="str">
        <f t="shared" si="1"/>
        <v>No</v>
      </c>
    </row>
    <row r="54" spans="1:9" ht="15" customHeight="1" x14ac:dyDescent="0.35">
      <c r="A54" s="2" t="s">
        <v>72</v>
      </c>
      <c r="B54" s="2" t="s">
        <v>20</v>
      </c>
      <c r="C54" s="2" t="s">
        <v>16</v>
      </c>
      <c r="D54" s="2" t="s">
        <v>66</v>
      </c>
      <c r="E54" s="2">
        <v>2020</v>
      </c>
      <c r="F54" s="2" t="s">
        <v>49</v>
      </c>
      <c r="G54" s="3">
        <v>1593038</v>
      </c>
      <c r="H54" s="2" t="str">
        <f t="shared" si="0"/>
        <v>2020-Q1</v>
      </c>
      <c r="I54" s="2" t="str">
        <f t="shared" si="1"/>
        <v>No</v>
      </c>
    </row>
    <row r="55" spans="1:9" ht="15" customHeight="1" x14ac:dyDescent="0.35">
      <c r="A55" s="2" t="s">
        <v>73</v>
      </c>
      <c r="B55" s="2" t="s">
        <v>20</v>
      </c>
      <c r="C55" s="2" t="s">
        <v>11</v>
      </c>
      <c r="D55" s="2" t="s">
        <v>66</v>
      </c>
      <c r="E55" s="2">
        <v>2020</v>
      </c>
      <c r="F55" s="2" t="s">
        <v>49</v>
      </c>
      <c r="G55" s="3">
        <v>1784478</v>
      </c>
      <c r="H55" s="2" t="str">
        <f t="shared" si="0"/>
        <v>2020-Q1</v>
      </c>
      <c r="I55" s="2" t="str">
        <f t="shared" si="1"/>
        <v>No</v>
      </c>
    </row>
    <row r="56" spans="1:9" ht="15" customHeight="1" x14ac:dyDescent="0.35">
      <c r="A56" s="2" t="s">
        <v>74</v>
      </c>
      <c r="B56" s="2" t="s">
        <v>20</v>
      </c>
      <c r="C56" s="2" t="s">
        <v>11</v>
      </c>
      <c r="D56" s="2" t="s">
        <v>66</v>
      </c>
      <c r="E56" s="2">
        <v>2020</v>
      </c>
      <c r="F56" s="2" t="s">
        <v>49</v>
      </c>
      <c r="G56" s="3">
        <v>1493958</v>
      </c>
      <c r="H56" s="2" t="str">
        <f t="shared" si="0"/>
        <v>2020-Q1</v>
      </c>
      <c r="I56" s="2" t="str">
        <f t="shared" si="1"/>
        <v>No</v>
      </c>
    </row>
    <row r="57" spans="1:9" ht="15" customHeight="1" x14ac:dyDescent="0.35">
      <c r="A57" s="2" t="s">
        <v>75</v>
      </c>
      <c r="B57" s="2" t="s">
        <v>20</v>
      </c>
      <c r="C57" s="2" t="s">
        <v>16</v>
      </c>
      <c r="D57" s="2" t="s">
        <v>66</v>
      </c>
      <c r="E57" s="2">
        <v>2020</v>
      </c>
      <c r="F57" s="2" t="s">
        <v>49</v>
      </c>
      <c r="G57" s="3">
        <v>1509042</v>
      </c>
      <c r="H57" s="2" t="str">
        <f t="shared" si="0"/>
        <v>2020-Q1</v>
      </c>
      <c r="I57" s="2" t="str">
        <f t="shared" si="1"/>
        <v>No</v>
      </c>
    </row>
    <row r="58" spans="1:9" ht="15" customHeight="1" x14ac:dyDescent="0.35">
      <c r="A58" s="2" t="s">
        <v>76</v>
      </c>
      <c r="B58" s="2" t="s">
        <v>20</v>
      </c>
      <c r="C58" s="2" t="s">
        <v>11</v>
      </c>
      <c r="D58" s="2" t="s">
        <v>66</v>
      </c>
      <c r="E58" s="2">
        <v>2020</v>
      </c>
      <c r="F58" s="2" t="s">
        <v>49</v>
      </c>
      <c r="G58" s="3">
        <v>1445703</v>
      </c>
      <c r="H58" s="2" t="str">
        <f t="shared" si="0"/>
        <v>2020-Q1</v>
      </c>
      <c r="I58" s="2" t="str">
        <f t="shared" si="1"/>
        <v>No</v>
      </c>
    </row>
    <row r="59" spans="1:9" ht="15" customHeight="1" x14ac:dyDescent="0.35">
      <c r="A59" s="2" t="s">
        <v>76</v>
      </c>
      <c r="B59" s="2" t="s">
        <v>20</v>
      </c>
      <c r="C59" s="2" t="s">
        <v>16</v>
      </c>
      <c r="D59" s="2" t="s">
        <v>66</v>
      </c>
      <c r="E59" s="2">
        <v>2020</v>
      </c>
      <c r="F59" s="2" t="s">
        <v>49</v>
      </c>
      <c r="G59" s="3">
        <v>1219313</v>
      </c>
      <c r="H59" s="2" t="str">
        <f t="shared" si="0"/>
        <v>2020-Q1</v>
      </c>
      <c r="I59" s="2" t="str">
        <f t="shared" si="1"/>
        <v>No</v>
      </c>
    </row>
    <row r="60" spans="1:9" ht="15" customHeight="1" x14ac:dyDescent="0.35">
      <c r="A60" s="2" t="s">
        <v>77</v>
      </c>
      <c r="B60" s="2" t="s">
        <v>20</v>
      </c>
      <c r="C60" s="2" t="s">
        <v>21</v>
      </c>
      <c r="D60" s="2" t="s">
        <v>66</v>
      </c>
      <c r="E60" s="2">
        <v>2020</v>
      </c>
      <c r="F60" s="2" t="s">
        <v>49</v>
      </c>
      <c r="G60" s="3">
        <v>1378458</v>
      </c>
      <c r="H60" s="2" t="str">
        <f t="shared" si="0"/>
        <v>2020-Q1</v>
      </c>
      <c r="I60" s="2" t="str">
        <f t="shared" si="1"/>
        <v>No</v>
      </c>
    </row>
    <row r="61" spans="1:9" ht="15" customHeight="1" x14ac:dyDescent="0.35">
      <c r="A61" s="2" t="s">
        <v>77</v>
      </c>
      <c r="B61" s="2" t="s">
        <v>20</v>
      </c>
      <c r="C61" s="2" t="s">
        <v>11</v>
      </c>
      <c r="D61" s="2" t="s">
        <v>66</v>
      </c>
      <c r="E61" s="2">
        <v>2020</v>
      </c>
      <c r="F61" s="2" t="s">
        <v>49</v>
      </c>
      <c r="G61" s="3">
        <v>812267</v>
      </c>
      <c r="H61" s="2" t="str">
        <f t="shared" si="0"/>
        <v>2020-Q1</v>
      </c>
      <c r="I61" s="2" t="str">
        <f t="shared" si="1"/>
        <v>No</v>
      </c>
    </row>
    <row r="62" spans="1:9" ht="15" customHeight="1" x14ac:dyDescent="0.35">
      <c r="A62" s="2" t="s">
        <v>78</v>
      </c>
      <c r="B62" s="2" t="s">
        <v>27</v>
      </c>
      <c r="C62" s="2" t="s">
        <v>16</v>
      </c>
      <c r="D62" s="2" t="s">
        <v>66</v>
      </c>
      <c r="E62" s="2">
        <v>2020</v>
      </c>
      <c r="F62" s="2" t="s">
        <v>49</v>
      </c>
      <c r="G62" s="3">
        <v>1473799</v>
      </c>
      <c r="H62" s="2" t="str">
        <f t="shared" si="0"/>
        <v>2020-Q1</v>
      </c>
      <c r="I62" s="2" t="str">
        <f t="shared" si="1"/>
        <v>No</v>
      </c>
    </row>
    <row r="63" spans="1:9" ht="15" customHeight="1" x14ac:dyDescent="0.35">
      <c r="A63" s="2" t="s">
        <v>78</v>
      </c>
      <c r="B63" s="2" t="s">
        <v>10</v>
      </c>
      <c r="C63" s="2" t="s">
        <v>21</v>
      </c>
      <c r="D63" s="2" t="s">
        <v>66</v>
      </c>
      <c r="E63" s="2">
        <v>2020</v>
      </c>
      <c r="F63" s="2" t="s">
        <v>49</v>
      </c>
      <c r="G63" s="3">
        <v>1085955</v>
      </c>
      <c r="H63" s="2" t="str">
        <f t="shared" si="0"/>
        <v>2020-Q1</v>
      </c>
      <c r="I63" s="2" t="str">
        <f t="shared" si="1"/>
        <v>No</v>
      </c>
    </row>
    <row r="64" spans="1:9" ht="15" customHeight="1" x14ac:dyDescent="0.35">
      <c r="A64" s="2" t="s">
        <v>79</v>
      </c>
      <c r="B64" s="2" t="s">
        <v>10</v>
      </c>
      <c r="C64" s="2" t="s">
        <v>25</v>
      </c>
      <c r="D64" s="2" t="s">
        <v>80</v>
      </c>
      <c r="E64" s="2">
        <v>2020</v>
      </c>
      <c r="F64" s="2" t="s">
        <v>49</v>
      </c>
      <c r="G64" s="3">
        <v>1822041</v>
      </c>
      <c r="H64" s="2" t="str">
        <f t="shared" si="0"/>
        <v>2020-Q1</v>
      </c>
      <c r="I64" s="2" t="str">
        <f t="shared" si="1"/>
        <v>No</v>
      </c>
    </row>
    <row r="65" spans="1:9" ht="15" customHeight="1" x14ac:dyDescent="0.35">
      <c r="A65" s="2" t="s">
        <v>81</v>
      </c>
      <c r="B65" s="2" t="s">
        <v>10</v>
      </c>
      <c r="C65" s="2" t="s">
        <v>16</v>
      </c>
      <c r="D65" s="2" t="s">
        <v>80</v>
      </c>
      <c r="E65" s="2">
        <v>2020</v>
      </c>
      <c r="F65" s="2" t="s">
        <v>49</v>
      </c>
      <c r="G65" s="3">
        <v>942170</v>
      </c>
      <c r="H65" s="2" t="str">
        <f t="shared" si="0"/>
        <v>2020-Q1</v>
      </c>
      <c r="I65" s="2" t="str">
        <f t="shared" si="1"/>
        <v>No</v>
      </c>
    </row>
    <row r="66" spans="1:9" ht="15" customHeight="1" x14ac:dyDescent="0.35">
      <c r="A66" s="2" t="s">
        <v>82</v>
      </c>
      <c r="B66" s="2" t="s">
        <v>10</v>
      </c>
      <c r="C66" s="2" t="s">
        <v>11</v>
      </c>
      <c r="D66" s="2" t="s">
        <v>80</v>
      </c>
      <c r="E66" s="2">
        <v>2020</v>
      </c>
      <c r="F66" s="2" t="s">
        <v>49</v>
      </c>
      <c r="G66" s="3">
        <v>1148983</v>
      </c>
      <c r="H66" s="2" t="str">
        <f t="shared" ref="H66:H129" si="2">E66&amp;"-"&amp;F66</f>
        <v>2020-Q1</v>
      </c>
      <c r="I66" s="2" t="str">
        <f t="shared" ref="I66:I129" si="3">IF(E66=2019,"Yes","No")</f>
        <v>No</v>
      </c>
    </row>
    <row r="67" spans="1:9" ht="15" customHeight="1" x14ac:dyDescent="0.35">
      <c r="A67" s="2" t="s">
        <v>82</v>
      </c>
      <c r="B67" s="2" t="s">
        <v>10</v>
      </c>
      <c r="C67" s="2" t="s">
        <v>11</v>
      </c>
      <c r="D67" s="2" t="s">
        <v>80</v>
      </c>
      <c r="E67" s="2">
        <v>2020</v>
      </c>
      <c r="F67" s="2" t="s">
        <v>49</v>
      </c>
      <c r="G67" s="3">
        <v>790962</v>
      </c>
      <c r="H67" s="2" t="str">
        <f t="shared" si="2"/>
        <v>2020-Q1</v>
      </c>
      <c r="I67" s="2" t="str">
        <f t="shared" si="3"/>
        <v>No</v>
      </c>
    </row>
    <row r="68" spans="1:9" ht="15" customHeight="1" x14ac:dyDescent="0.35">
      <c r="A68" s="2" t="s">
        <v>82</v>
      </c>
      <c r="B68" s="2" t="s">
        <v>10</v>
      </c>
      <c r="C68" s="2" t="s">
        <v>11</v>
      </c>
      <c r="D68" s="2" t="s">
        <v>80</v>
      </c>
      <c r="E68" s="2">
        <v>2020</v>
      </c>
      <c r="F68" s="2" t="s">
        <v>49</v>
      </c>
      <c r="G68" s="3">
        <v>1771632</v>
      </c>
      <c r="H68" s="2" t="str">
        <f t="shared" si="2"/>
        <v>2020-Q1</v>
      </c>
      <c r="I68" s="2" t="str">
        <f t="shared" si="3"/>
        <v>No</v>
      </c>
    </row>
    <row r="69" spans="1:9" ht="15" customHeight="1" x14ac:dyDescent="0.35">
      <c r="A69" s="2" t="s">
        <v>83</v>
      </c>
      <c r="B69" s="2" t="s">
        <v>10</v>
      </c>
      <c r="C69" s="2" t="s">
        <v>25</v>
      </c>
      <c r="D69" s="2" t="s">
        <v>80</v>
      </c>
      <c r="E69" s="2">
        <v>2020</v>
      </c>
      <c r="F69" s="2" t="s">
        <v>49</v>
      </c>
      <c r="G69" s="3">
        <v>1233631</v>
      </c>
      <c r="H69" s="2" t="str">
        <f t="shared" si="2"/>
        <v>2020-Q1</v>
      </c>
      <c r="I69" s="2" t="str">
        <f t="shared" si="3"/>
        <v>No</v>
      </c>
    </row>
    <row r="70" spans="1:9" ht="15" customHeight="1" x14ac:dyDescent="0.35">
      <c r="A70" s="2" t="s">
        <v>84</v>
      </c>
      <c r="B70" s="2" t="s">
        <v>10</v>
      </c>
      <c r="C70" s="2" t="s">
        <v>11</v>
      </c>
      <c r="D70" s="2" t="s">
        <v>80</v>
      </c>
      <c r="E70" s="2">
        <v>2020</v>
      </c>
      <c r="F70" s="2" t="s">
        <v>49</v>
      </c>
      <c r="G70" s="3">
        <v>1107658</v>
      </c>
      <c r="H70" s="2" t="str">
        <f t="shared" si="2"/>
        <v>2020-Q1</v>
      </c>
      <c r="I70" s="2" t="str">
        <f t="shared" si="3"/>
        <v>No</v>
      </c>
    </row>
    <row r="71" spans="1:9" ht="15" customHeight="1" x14ac:dyDescent="0.35">
      <c r="A71" s="2" t="s">
        <v>85</v>
      </c>
      <c r="B71" s="2" t="s">
        <v>10</v>
      </c>
      <c r="C71" s="2" t="s">
        <v>11</v>
      </c>
      <c r="D71" s="2" t="s">
        <v>80</v>
      </c>
      <c r="E71" s="2">
        <v>2020</v>
      </c>
      <c r="F71" s="2" t="s">
        <v>49</v>
      </c>
      <c r="G71" s="3">
        <v>1498380</v>
      </c>
      <c r="H71" s="2" t="str">
        <f t="shared" si="2"/>
        <v>2020-Q1</v>
      </c>
      <c r="I71" s="2" t="str">
        <f t="shared" si="3"/>
        <v>No</v>
      </c>
    </row>
    <row r="72" spans="1:9" ht="15" customHeight="1" x14ac:dyDescent="0.35">
      <c r="A72" s="2" t="s">
        <v>86</v>
      </c>
      <c r="B72" s="2" t="s">
        <v>10</v>
      </c>
      <c r="C72" s="2" t="s">
        <v>11</v>
      </c>
      <c r="D72" s="2" t="s">
        <v>80</v>
      </c>
      <c r="E72" s="2">
        <v>2020</v>
      </c>
      <c r="F72" s="2" t="s">
        <v>49</v>
      </c>
      <c r="G72" s="3">
        <v>226445</v>
      </c>
      <c r="H72" s="2" t="str">
        <f t="shared" si="2"/>
        <v>2020-Q1</v>
      </c>
      <c r="I72" s="2" t="str">
        <f t="shared" si="3"/>
        <v>No</v>
      </c>
    </row>
    <row r="73" spans="1:9" ht="15" customHeight="1" x14ac:dyDescent="0.35">
      <c r="A73" s="2" t="s">
        <v>87</v>
      </c>
      <c r="B73" s="2" t="s">
        <v>10</v>
      </c>
      <c r="C73" s="2" t="s">
        <v>11</v>
      </c>
      <c r="D73" s="2" t="s">
        <v>80</v>
      </c>
      <c r="E73" s="2">
        <v>2020</v>
      </c>
      <c r="F73" s="2" t="s">
        <v>49</v>
      </c>
      <c r="G73" s="3">
        <v>407754</v>
      </c>
      <c r="H73" s="2" t="str">
        <f t="shared" si="2"/>
        <v>2020-Q1</v>
      </c>
      <c r="I73" s="2" t="str">
        <f t="shared" si="3"/>
        <v>No</v>
      </c>
    </row>
    <row r="74" spans="1:9" ht="15" customHeight="1" x14ac:dyDescent="0.35">
      <c r="A74" s="2" t="s">
        <v>88</v>
      </c>
      <c r="B74" s="2" t="s">
        <v>10</v>
      </c>
      <c r="C74" s="2" t="s">
        <v>11</v>
      </c>
      <c r="D74" s="2" t="s">
        <v>80</v>
      </c>
      <c r="E74" s="2">
        <v>2020</v>
      </c>
      <c r="F74" s="2" t="s">
        <v>49</v>
      </c>
      <c r="G74" s="3">
        <v>322835</v>
      </c>
      <c r="H74" s="2" t="str">
        <f t="shared" si="2"/>
        <v>2020-Q1</v>
      </c>
      <c r="I74" s="2" t="str">
        <f t="shared" si="3"/>
        <v>No</v>
      </c>
    </row>
    <row r="75" spans="1:9" ht="15" customHeight="1" x14ac:dyDescent="0.35">
      <c r="A75" s="2" t="s">
        <v>88</v>
      </c>
      <c r="B75" s="2" t="s">
        <v>10</v>
      </c>
      <c r="C75" s="2" t="s">
        <v>16</v>
      </c>
      <c r="D75" s="2" t="s">
        <v>80</v>
      </c>
      <c r="E75" s="2">
        <v>2020</v>
      </c>
      <c r="F75" s="2" t="s">
        <v>49</v>
      </c>
      <c r="G75" s="3">
        <v>667093</v>
      </c>
      <c r="H75" s="2" t="str">
        <f t="shared" si="2"/>
        <v>2020-Q1</v>
      </c>
      <c r="I75" s="2" t="str">
        <f t="shared" si="3"/>
        <v>No</v>
      </c>
    </row>
    <row r="76" spans="1:9" ht="15" customHeight="1" x14ac:dyDescent="0.35">
      <c r="A76" s="2" t="s">
        <v>89</v>
      </c>
      <c r="B76" s="2" t="s">
        <v>27</v>
      </c>
      <c r="C76" s="2" t="s">
        <v>11</v>
      </c>
      <c r="D76" s="2" t="s">
        <v>80</v>
      </c>
      <c r="E76" s="2">
        <v>2020</v>
      </c>
      <c r="F76" s="2" t="s">
        <v>49</v>
      </c>
      <c r="G76" s="3">
        <v>1257419</v>
      </c>
      <c r="H76" s="2" t="str">
        <f t="shared" si="2"/>
        <v>2020-Q1</v>
      </c>
      <c r="I76" s="2" t="str">
        <f t="shared" si="3"/>
        <v>No</v>
      </c>
    </row>
    <row r="77" spans="1:9" ht="15" customHeight="1" x14ac:dyDescent="0.35">
      <c r="A77" s="2" t="s">
        <v>89</v>
      </c>
      <c r="B77" s="2" t="s">
        <v>29</v>
      </c>
      <c r="C77" s="2" t="s">
        <v>25</v>
      </c>
      <c r="D77" s="2" t="s">
        <v>80</v>
      </c>
      <c r="E77" s="2">
        <v>2020</v>
      </c>
      <c r="F77" s="2" t="s">
        <v>49</v>
      </c>
      <c r="G77" s="3">
        <v>1289709</v>
      </c>
      <c r="H77" s="2" t="str">
        <f t="shared" si="2"/>
        <v>2020-Q1</v>
      </c>
      <c r="I77" s="2" t="str">
        <f t="shared" si="3"/>
        <v>No</v>
      </c>
    </row>
    <row r="78" spans="1:9" ht="15" customHeight="1" x14ac:dyDescent="0.35">
      <c r="A78" s="2" t="s">
        <v>90</v>
      </c>
      <c r="B78" s="2" t="s">
        <v>29</v>
      </c>
      <c r="C78" s="2" t="s">
        <v>21</v>
      </c>
      <c r="D78" s="2" t="s">
        <v>80</v>
      </c>
      <c r="E78" s="2">
        <v>2020</v>
      </c>
      <c r="F78" s="2" t="s">
        <v>49</v>
      </c>
      <c r="G78" s="3">
        <v>344951</v>
      </c>
      <c r="H78" s="2" t="str">
        <f t="shared" si="2"/>
        <v>2020-Q1</v>
      </c>
      <c r="I78" s="2" t="str">
        <f t="shared" si="3"/>
        <v>No</v>
      </c>
    </row>
    <row r="79" spans="1:9" ht="15" customHeight="1" x14ac:dyDescent="0.35">
      <c r="A79" s="2" t="s">
        <v>91</v>
      </c>
      <c r="B79" s="2" t="s">
        <v>29</v>
      </c>
      <c r="C79" s="2" t="s">
        <v>21</v>
      </c>
      <c r="D79" s="2" t="s">
        <v>80</v>
      </c>
      <c r="E79" s="2">
        <v>2020</v>
      </c>
      <c r="F79" s="2" t="s">
        <v>49</v>
      </c>
      <c r="G79" s="3">
        <v>1326360</v>
      </c>
      <c r="H79" s="2" t="str">
        <f t="shared" si="2"/>
        <v>2020-Q1</v>
      </c>
      <c r="I79" s="2" t="str">
        <f t="shared" si="3"/>
        <v>No</v>
      </c>
    </row>
    <row r="80" spans="1:9" ht="15" customHeight="1" x14ac:dyDescent="0.35">
      <c r="A80" s="2" t="s">
        <v>92</v>
      </c>
      <c r="B80" s="2" t="s">
        <v>29</v>
      </c>
      <c r="C80" s="2" t="s">
        <v>21</v>
      </c>
      <c r="D80" s="2" t="s">
        <v>80</v>
      </c>
      <c r="E80" s="2">
        <v>2020</v>
      </c>
      <c r="F80" s="2" t="s">
        <v>49</v>
      </c>
      <c r="G80" s="3">
        <v>1863118</v>
      </c>
      <c r="H80" s="2" t="str">
        <f t="shared" si="2"/>
        <v>2020-Q1</v>
      </c>
      <c r="I80" s="2" t="str">
        <f t="shared" si="3"/>
        <v>No</v>
      </c>
    </row>
    <row r="81" spans="1:9" ht="15" customHeight="1" x14ac:dyDescent="0.35">
      <c r="A81" s="2" t="s">
        <v>93</v>
      </c>
      <c r="B81" s="2" t="s">
        <v>29</v>
      </c>
      <c r="C81" s="2" t="s">
        <v>21</v>
      </c>
      <c r="D81" s="2" t="s">
        <v>94</v>
      </c>
      <c r="E81" s="2">
        <v>2020</v>
      </c>
      <c r="F81" s="2" t="s">
        <v>49</v>
      </c>
      <c r="G81" s="3">
        <v>1153948</v>
      </c>
      <c r="H81" s="2" t="str">
        <f t="shared" si="2"/>
        <v>2020-Q1</v>
      </c>
      <c r="I81" s="2" t="str">
        <f t="shared" si="3"/>
        <v>No</v>
      </c>
    </row>
    <row r="82" spans="1:9" ht="15" customHeight="1" x14ac:dyDescent="0.35">
      <c r="A82" s="2" t="s">
        <v>93</v>
      </c>
      <c r="B82" s="2" t="s">
        <v>29</v>
      </c>
      <c r="C82" s="2" t="s">
        <v>21</v>
      </c>
      <c r="D82" s="2" t="s">
        <v>94</v>
      </c>
      <c r="E82" s="2">
        <v>2020</v>
      </c>
      <c r="F82" s="2" t="s">
        <v>49</v>
      </c>
      <c r="G82" s="3">
        <v>752850</v>
      </c>
      <c r="H82" s="2" t="str">
        <f t="shared" si="2"/>
        <v>2020-Q1</v>
      </c>
      <c r="I82" s="2" t="str">
        <f t="shared" si="3"/>
        <v>No</v>
      </c>
    </row>
    <row r="83" spans="1:9" ht="15" customHeight="1" x14ac:dyDescent="0.35">
      <c r="A83" s="2" t="s">
        <v>95</v>
      </c>
      <c r="B83" s="2" t="s">
        <v>29</v>
      </c>
      <c r="C83" s="2" t="s">
        <v>21</v>
      </c>
      <c r="D83" s="2" t="s">
        <v>94</v>
      </c>
      <c r="E83" s="2">
        <v>2020</v>
      </c>
      <c r="F83" s="2" t="s">
        <v>49</v>
      </c>
      <c r="G83" s="3">
        <v>1649721</v>
      </c>
      <c r="H83" s="2" t="str">
        <f t="shared" si="2"/>
        <v>2020-Q1</v>
      </c>
      <c r="I83" s="2" t="str">
        <f t="shared" si="3"/>
        <v>No</v>
      </c>
    </row>
    <row r="84" spans="1:9" ht="15" customHeight="1" x14ac:dyDescent="0.35">
      <c r="A84" s="2" t="s">
        <v>95</v>
      </c>
      <c r="B84" s="2" t="s">
        <v>29</v>
      </c>
      <c r="C84" s="2" t="s">
        <v>21</v>
      </c>
      <c r="D84" s="2" t="s">
        <v>94</v>
      </c>
      <c r="E84" s="2">
        <v>2020</v>
      </c>
      <c r="F84" s="2" t="s">
        <v>49</v>
      </c>
      <c r="G84" s="3">
        <v>1014259</v>
      </c>
      <c r="H84" s="2" t="str">
        <f t="shared" si="2"/>
        <v>2020-Q1</v>
      </c>
      <c r="I84" s="2" t="str">
        <f t="shared" si="3"/>
        <v>No</v>
      </c>
    </row>
    <row r="85" spans="1:9" ht="15" customHeight="1" x14ac:dyDescent="0.35">
      <c r="A85" s="2" t="s">
        <v>95</v>
      </c>
      <c r="B85" s="2" t="s">
        <v>29</v>
      </c>
      <c r="C85" s="2" t="s">
        <v>21</v>
      </c>
      <c r="D85" s="2" t="s">
        <v>94</v>
      </c>
      <c r="E85" s="2">
        <v>2020</v>
      </c>
      <c r="F85" s="2" t="s">
        <v>49</v>
      </c>
      <c r="G85" s="3">
        <v>849261</v>
      </c>
      <c r="H85" s="2" t="str">
        <f t="shared" si="2"/>
        <v>2020-Q1</v>
      </c>
      <c r="I85" s="2" t="str">
        <f t="shared" si="3"/>
        <v>No</v>
      </c>
    </row>
    <row r="86" spans="1:9" ht="15" customHeight="1" x14ac:dyDescent="0.35">
      <c r="A86" s="2" t="s">
        <v>96</v>
      </c>
      <c r="B86" s="2" t="s">
        <v>29</v>
      </c>
      <c r="C86" s="2" t="s">
        <v>21</v>
      </c>
      <c r="D86" s="2" t="s">
        <v>94</v>
      </c>
      <c r="E86" s="2">
        <v>2020</v>
      </c>
      <c r="F86" s="2" t="s">
        <v>49</v>
      </c>
      <c r="G86" s="3">
        <v>1716438</v>
      </c>
      <c r="H86" s="2" t="str">
        <f t="shared" si="2"/>
        <v>2020-Q1</v>
      </c>
      <c r="I86" s="2" t="str">
        <f t="shared" si="3"/>
        <v>No</v>
      </c>
    </row>
    <row r="87" spans="1:9" ht="15" customHeight="1" x14ac:dyDescent="0.35">
      <c r="A87" s="2" t="s">
        <v>97</v>
      </c>
      <c r="B87" s="2" t="s">
        <v>29</v>
      </c>
      <c r="C87" s="2" t="s">
        <v>21</v>
      </c>
      <c r="D87" s="2" t="s">
        <v>94</v>
      </c>
      <c r="E87" s="2">
        <v>2020</v>
      </c>
      <c r="F87" s="2" t="s">
        <v>49</v>
      </c>
      <c r="G87" s="3">
        <v>1862963</v>
      </c>
      <c r="H87" s="2" t="str">
        <f t="shared" si="2"/>
        <v>2020-Q1</v>
      </c>
      <c r="I87" s="2" t="str">
        <f t="shared" si="3"/>
        <v>No</v>
      </c>
    </row>
    <row r="88" spans="1:9" ht="15" customHeight="1" x14ac:dyDescent="0.35">
      <c r="A88" s="2" t="s">
        <v>98</v>
      </c>
      <c r="B88" s="2" t="s">
        <v>29</v>
      </c>
      <c r="C88" s="2" t="s">
        <v>21</v>
      </c>
      <c r="D88" s="2" t="s">
        <v>94</v>
      </c>
      <c r="E88" s="2">
        <v>2020</v>
      </c>
      <c r="F88" s="2" t="s">
        <v>49</v>
      </c>
      <c r="G88" s="3">
        <v>1454907</v>
      </c>
      <c r="H88" s="2" t="str">
        <f t="shared" si="2"/>
        <v>2020-Q1</v>
      </c>
      <c r="I88" s="2" t="str">
        <f t="shared" si="3"/>
        <v>No</v>
      </c>
    </row>
    <row r="89" spans="1:9" ht="15" customHeight="1" x14ac:dyDescent="0.35">
      <c r="A89" s="2" t="s">
        <v>98</v>
      </c>
      <c r="B89" s="2" t="s">
        <v>29</v>
      </c>
      <c r="C89" s="2" t="s">
        <v>21</v>
      </c>
      <c r="D89" s="2" t="s">
        <v>94</v>
      </c>
      <c r="E89" s="2">
        <v>2020</v>
      </c>
      <c r="F89" s="2" t="s">
        <v>49</v>
      </c>
      <c r="G89" s="3">
        <v>207300</v>
      </c>
      <c r="H89" s="2" t="str">
        <f t="shared" si="2"/>
        <v>2020-Q1</v>
      </c>
      <c r="I89" s="2" t="str">
        <f t="shared" si="3"/>
        <v>No</v>
      </c>
    </row>
    <row r="90" spans="1:9" ht="15" customHeight="1" x14ac:dyDescent="0.35">
      <c r="A90" s="2" t="s">
        <v>99</v>
      </c>
      <c r="B90" s="2" t="s">
        <v>29</v>
      </c>
      <c r="C90" s="2" t="s">
        <v>11</v>
      </c>
      <c r="D90" s="2" t="s">
        <v>94</v>
      </c>
      <c r="E90" s="2">
        <v>2020</v>
      </c>
      <c r="F90" s="2" t="s">
        <v>49</v>
      </c>
      <c r="G90" s="3">
        <v>1230645</v>
      </c>
      <c r="H90" s="2" t="str">
        <f t="shared" si="2"/>
        <v>2020-Q1</v>
      </c>
      <c r="I90" s="2" t="str">
        <f t="shared" si="3"/>
        <v>No</v>
      </c>
    </row>
    <row r="91" spans="1:9" ht="15" customHeight="1" x14ac:dyDescent="0.35">
      <c r="A91" s="2" t="s">
        <v>99</v>
      </c>
      <c r="B91" s="2" t="s">
        <v>29</v>
      </c>
      <c r="C91" s="2" t="s">
        <v>21</v>
      </c>
      <c r="D91" s="2" t="s">
        <v>94</v>
      </c>
      <c r="E91" s="2">
        <v>2020</v>
      </c>
      <c r="F91" s="2" t="s">
        <v>49</v>
      </c>
      <c r="G91" s="3">
        <v>536469</v>
      </c>
      <c r="H91" s="2" t="str">
        <f t="shared" si="2"/>
        <v>2020-Q1</v>
      </c>
      <c r="I91" s="2" t="str">
        <f t="shared" si="3"/>
        <v>No</v>
      </c>
    </row>
    <row r="92" spans="1:9" ht="15" customHeight="1" x14ac:dyDescent="0.35">
      <c r="A92" s="2" t="s">
        <v>100</v>
      </c>
      <c r="B92" s="2" t="s">
        <v>29</v>
      </c>
      <c r="C92" s="2" t="s">
        <v>21</v>
      </c>
      <c r="D92" s="2" t="s">
        <v>94</v>
      </c>
      <c r="E92" s="2">
        <v>2020</v>
      </c>
      <c r="F92" s="2" t="s">
        <v>49</v>
      </c>
      <c r="G92" s="3">
        <v>153011</v>
      </c>
      <c r="H92" s="2" t="str">
        <f t="shared" si="2"/>
        <v>2020-Q1</v>
      </c>
      <c r="I92" s="2" t="str">
        <f t="shared" si="3"/>
        <v>No</v>
      </c>
    </row>
    <row r="93" spans="1:9" ht="15" customHeight="1" x14ac:dyDescent="0.35">
      <c r="A93" s="2" t="s">
        <v>100</v>
      </c>
      <c r="B93" s="2" t="s">
        <v>29</v>
      </c>
      <c r="C93" s="2" t="s">
        <v>21</v>
      </c>
      <c r="D93" s="2" t="s">
        <v>94</v>
      </c>
      <c r="E93" s="2">
        <v>2020</v>
      </c>
      <c r="F93" s="2" t="s">
        <v>49</v>
      </c>
      <c r="G93" s="3">
        <v>1697736</v>
      </c>
      <c r="H93" s="2" t="str">
        <f t="shared" si="2"/>
        <v>2020-Q1</v>
      </c>
      <c r="I93" s="2" t="str">
        <f t="shared" si="3"/>
        <v>No</v>
      </c>
    </row>
    <row r="94" spans="1:9" ht="15" customHeight="1" x14ac:dyDescent="0.35">
      <c r="A94" s="2" t="s">
        <v>101</v>
      </c>
      <c r="B94" s="2" t="s">
        <v>29</v>
      </c>
      <c r="C94" s="2" t="s">
        <v>21</v>
      </c>
      <c r="D94" s="2" t="s">
        <v>94</v>
      </c>
      <c r="E94" s="2">
        <v>2020</v>
      </c>
      <c r="F94" s="2" t="s">
        <v>49</v>
      </c>
      <c r="G94" s="3">
        <v>281074</v>
      </c>
      <c r="H94" s="2" t="str">
        <f t="shared" si="2"/>
        <v>2020-Q1</v>
      </c>
      <c r="I94" s="2" t="str">
        <f t="shared" si="3"/>
        <v>No</v>
      </c>
    </row>
    <row r="95" spans="1:9" ht="15" customHeight="1" x14ac:dyDescent="0.35">
      <c r="A95" s="2" t="s">
        <v>102</v>
      </c>
      <c r="B95" s="2" t="s">
        <v>29</v>
      </c>
      <c r="C95" s="2" t="s">
        <v>21</v>
      </c>
      <c r="D95" s="2" t="s">
        <v>94</v>
      </c>
      <c r="E95" s="2">
        <v>2020</v>
      </c>
      <c r="F95" s="2" t="s">
        <v>49</v>
      </c>
      <c r="G95" s="3">
        <v>1125999</v>
      </c>
      <c r="H95" s="2" t="str">
        <f t="shared" si="2"/>
        <v>2020-Q1</v>
      </c>
      <c r="I95" s="2" t="str">
        <f t="shared" si="3"/>
        <v>No</v>
      </c>
    </row>
    <row r="96" spans="1:9" ht="15" customHeight="1" x14ac:dyDescent="0.35">
      <c r="A96" s="2" t="s">
        <v>102</v>
      </c>
      <c r="B96" s="2" t="s">
        <v>29</v>
      </c>
      <c r="C96" s="2" t="s">
        <v>11</v>
      </c>
      <c r="D96" s="2" t="s">
        <v>94</v>
      </c>
      <c r="E96" s="2">
        <v>2020</v>
      </c>
      <c r="F96" s="2" t="s">
        <v>49</v>
      </c>
      <c r="G96" s="3">
        <v>1541895</v>
      </c>
      <c r="H96" s="2" t="str">
        <f t="shared" si="2"/>
        <v>2020-Q1</v>
      </c>
      <c r="I96" s="2" t="str">
        <f t="shared" si="3"/>
        <v>No</v>
      </c>
    </row>
    <row r="97" spans="1:9" ht="15" customHeight="1" x14ac:dyDescent="0.35">
      <c r="A97" s="2" t="s">
        <v>103</v>
      </c>
      <c r="B97" s="2" t="s">
        <v>27</v>
      </c>
      <c r="C97" s="2" t="s">
        <v>11</v>
      </c>
      <c r="D97" s="2" t="s">
        <v>94</v>
      </c>
      <c r="E97" s="2">
        <v>2020</v>
      </c>
      <c r="F97" s="2" t="s">
        <v>49</v>
      </c>
      <c r="G97" s="3">
        <v>1607715</v>
      </c>
      <c r="H97" s="2" t="str">
        <f t="shared" si="2"/>
        <v>2020-Q1</v>
      </c>
      <c r="I97" s="2" t="str">
        <f t="shared" si="3"/>
        <v>No</v>
      </c>
    </row>
    <row r="98" spans="1:9" ht="15" customHeight="1" x14ac:dyDescent="0.35">
      <c r="A98" s="2" t="s">
        <v>104</v>
      </c>
      <c r="B98" s="2" t="s">
        <v>27</v>
      </c>
      <c r="C98" s="2" t="s">
        <v>11</v>
      </c>
      <c r="D98" s="2" t="s">
        <v>94</v>
      </c>
      <c r="E98" s="2">
        <v>2020</v>
      </c>
      <c r="F98" s="2" t="s">
        <v>49</v>
      </c>
      <c r="G98" s="3">
        <v>824127</v>
      </c>
      <c r="H98" s="2" t="str">
        <f t="shared" si="2"/>
        <v>2020-Q1</v>
      </c>
      <c r="I98" s="2" t="str">
        <f t="shared" si="3"/>
        <v>No</v>
      </c>
    </row>
    <row r="99" spans="1:9" ht="15" customHeight="1" x14ac:dyDescent="0.35">
      <c r="A99" s="2" t="s">
        <v>105</v>
      </c>
      <c r="B99" s="2" t="s">
        <v>27</v>
      </c>
      <c r="C99" s="2" t="s">
        <v>11</v>
      </c>
      <c r="D99" s="2" t="s">
        <v>94</v>
      </c>
      <c r="E99" s="2">
        <v>2020</v>
      </c>
      <c r="F99" s="2" t="s">
        <v>49</v>
      </c>
      <c r="G99" s="3">
        <v>500931</v>
      </c>
      <c r="H99" s="2" t="str">
        <f t="shared" si="2"/>
        <v>2020-Q1</v>
      </c>
      <c r="I99" s="2" t="str">
        <f t="shared" si="3"/>
        <v>No</v>
      </c>
    </row>
    <row r="100" spans="1:9" ht="15" customHeight="1" x14ac:dyDescent="0.35">
      <c r="A100" s="2" t="s">
        <v>105</v>
      </c>
      <c r="B100" s="2" t="s">
        <v>27</v>
      </c>
      <c r="C100" s="2" t="s">
        <v>11</v>
      </c>
      <c r="D100" s="2" t="s">
        <v>94</v>
      </c>
      <c r="E100" s="2">
        <v>2020</v>
      </c>
      <c r="F100" s="2" t="s">
        <v>49</v>
      </c>
      <c r="G100" s="3">
        <v>343248</v>
      </c>
      <c r="H100" s="2" t="str">
        <f t="shared" si="2"/>
        <v>2020-Q1</v>
      </c>
      <c r="I100" s="2" t="str">
        <f t="shared" si="3"/>
        <v>No</v>
      </c>
    </row>
    <row r="101" spans="1:9" ht="15" customHeight="1" x14ac:dyDescent="0.35">
      <c r="A101" s="2" t="s">
        <v>105</v>
      </c>
      <c r="B101" s="2" t="s">
        <v>27</v>
      </c>
      <c r="C101" s="2" t="s">
        <v>11</v>
      </c>
      <c r="D101" s="2" t="s">
        <v>94</v>
      </c>
      <c r="E101" s="2">
        <v>2020</v>
      </c>
      <c r="F101" s="2" t="s">
        <v>49</v>
      </c>
      <c r="G101" s="3">
        <v>238885</v>
      </c>
      <c r="H101" s="2" t="str">
        <f t="shared" si="2"/>
        <v>2020-Q1</v>
      </c>
      <c r="I101" s="2" t="str">
        <f t="shared" si="3"/>
        <v>No</v>
      </c>
    </row>
    <row r="102" spans="1:9" ht="15" customHeight="1" x14ac:dyDescent="0.35">
      <c r="A102" s="2" t="s">
        <v>106</v>
      </c>
      <c r="B102" s="2" t="s">
        <v>27</v>
      </c>
      <c r="C102" s="2" t="s">
        <v>11</v>
      </c>
      <c r="D102" s="2" t="s">
        <v>94</v>
      </c>
      <c r="E102" s="2">
        <v>2020</v>
      </c>
      <c r="F102" s="2" t="s">
        <v>49</v>
      </c>
      <c r="G102" s="3">
        <v>1425288</v>
      </c>
      <c r="H102" s="2" t="str">
        <f t="shared" si="2"/>
        <v>2020-Q1</v>
      </c>
      <c r="I102" s="2" t="str">
        <f t="shared" si="3"/>
        <v>No</v>
      </c>
    </row>
    <row r="103" spans="1:9" ht="15" customHeight="1" x14ac:dyDescent="0.35">
      <c r="A103" s="2" t="s">
        <v>106</v>
      </c>
      <c r="B103" s="2" t="s">
        <v>27</v>
      </c>
      <c r="C103" s="2" t="s">
        <v>11</v>
      </c>
      <c r="D103" s="2" t="s">
        <v>94</v>
      </c>
      <c r="E103" s="2">
        <v>2020</v>
      </c>
      <c r="F103" s="2" t="s">
        <v>49</v>
      </c>
      <c r="G103" s="3">
        <v>223896</v>
      </c>
      <c r="H103" s="2" t="str">
        <f t="shared" si="2"/>
        <v>2020-Q1</v>
      </c>
      <c r="I103" s="2" t="str">
        <f t="shared" si="3"/>
        <v>No</v>
      </c>
    </row>
    <row r="104" spans="1:9" ht="15" customHeight="1" x14ac:dyDescent="0.35">
      <c r="A104" s="2" t="s">
        <v>107</v>
      </c>
      <c r="B104" s="2" t="s">
        <v>15</v>
      </c>
      <c r="C104" s="2" t="s">
        <v>11</v>
      </c>
      <c r="D104" s="2" t="s">
        <v>94</v>
      </c>
      <c r="E104" s="2">
        <v>2020</v>
      </c>
      <c r="F104" s="2" t="s">
        <v>49</v>
      </c>
      <c r="G104" s="3">
        <v>949953</v>
      </c>
      <c r="H104" s="2" t="str">
        <f t="shared" si="2"/>
        <v>2020-Q1</v>
      </c>
      <c r="I104" s="2" t="str">
        <f t="shared" si="3"/>
        <v>No</v>
      </c>
    </row>
    <row r="105" spans="1:9" ht="15" customHeight="1" x14ac:dyDescent="0.35">
      <c r="A105" s="2" t="s">
        <v>108</v>
      </c>
      <c r="B105" s="2" t="s">
        <v>15</v>
      </c>
      <c r="C105" s="2" t="s">
        <v>11</v>
      </c>
      <c r="D105" s="2" t="s">
        <v>94</v>
      </c>
      <c r="E105" s="2">
        <v>2020</v>
      </c>
      <c r="F105" s="2" t="s">
        <v>49</v>
      </c>
      <c r="G105" s="3">
        <v>1122767</v>
      </c>
      <c r="H105" s="2" t="str">
        <f t="shared" si="2"/>
        <v>2020-Q1</v>
      </c>
      <c r="I105" s="2" t="str">
        <f t="shared" si="3"/>
        <v>No</v>
      </c>
    </row>
    <row r="106" spans="1:9" ht="15" customHeight="1" x14ac:dyDescent="0.35">
      <c r="A106" s="2" t="s">
        <v>109</v>
      </c>
      <c r="B106" s="2" t="s">
        <v>15</v>
      </c>
      <c r="C106" s="2" t="s">
        <v>11</v>
      </c>
      <c r="D106" s="2" t="s">
        <v>110</v>
      </c>
      <c r="E106" s="2">
        <v>2020</v>
      </c>
      <c r="F106" s="2" t="s">
        <v>111</v>
      </c>
      <c r="G106" s="3">
        <v>1506717</v>
      </c>
      <c r="H106" s="2" t="str">
        <f t="shared" si="2"/>
        <v>2020-Q2</v>
      </c>
      <c r="I106" s="2" t="str">
        <f t="shared" si="3"/>
        <v>No</v>
      </c>
    </row>
    <row r="107" spans="1:9" ht="15" customHeight="1" x14ac:dyDescent="0.35">
      <c r="A107" s="2" t="s">
        <v>112</v>
      </c>
      <c r="B107" s="2" t="s">
        <v>15</v>
      </c>
      <c r="C107" s="2" t="s">
        <v>11</v>
      </c>
      <c r="D107" s="2" t="s">
        <v>110</v>
      </c>
      <c r="E107" s="2">
        <v>2020</v>
      </c>
      <c r="F107" s="2" t="s">
        <v>111</v>
      </c>
      <c r="G107" s="3">
        <v>842817</v>
      </c>
      <c r="H107" s="2" t="str">
        <f t="shared" si="2"/>
        <v>2020-Q2</v>
      </c>
      <c r="I107" s="2" t="str">
        <f t="shared" si="3"/>
        <v>No</v>
      </c>
    </row>
    <row r="108" spans="1:9" ht="15" customHeight="1" x14ac:dyDescent="0.35">
      <c r="A108" s="2" t="s">
        <v>113</v>
      </c>
      <c r="B108" s="2" t="s">
        <v>15</v>
      </c>
      <c r="C108" s="2" t="s">
        <v>11</v>
      </c>
      <c r="D108" s="2" t="s">
        <v>110</v>
      </c>
      <c r="E108" s="2">
        <v>2020</v>
      </c>
      <c r="F108" s="2" t="s">
        <v>111</v>
      </c>
      <c r="G108" s="3">
        <v>1389693</v>
      </c>
      <c r="H108" s="2" t="str">
        <f t="shared" si="2"/>
        <v>2020-Q2</v>
      </c>
      <c r="I108" s="2" t="str">
        <f t="shared" si="3"/>
        <v>No</v>
      </c>
    </row>
    <row r="109" spans="1:9" ht="15" customHeight="1" x14ac:dyDescent="0.35">
      <c r="A109" s="2" t="s">
        <v>114</v>
      </c>
      <c r="B109" s="2" t="s">
        <v>15</v>
      </c>
      <c r="C109" s="2" t="s">
        <v>11</v>
      </c>
      <c r="D109" s="2" t="s">
        <v>110</v>
      </c>
      <c r="E109" s="2">
        <v>2020</v>
      </c>
      <c r="F109" s="2" t="s">
        <v>111</v>
      </c>
      <c r="G109" s="3">
        <v>563256</v>
      </c>
      <c r="H109" s="2" t="str">
        <f t="shared" si="2"/>
        <v>2020-Q2</v>
      </c>
      <c r="I109" s="2" t="str">
        <f t="shared" si="3"/>
        <v>No</v>
      </c>
    </row>
    <row r="110" spans="1:9" ht="15" customHeight="1" x14ac:dyDescent="0.35">
      <c r="A110" s="2" t="s">
        <v>114</v>
      </c>
      <c r="B110" s="2" t="s">
        <v>15</v>
      </c>
      <c r="C110" s="2" t="s">
        <v>25</v>
      </c>
      <c r="D110" s="2" t="s">
        <v>110</v>
      </c>
      <c r="E110" s="2">
        <v>2020</v>
      </c>
      <c r="F110" s="2" t="s">
        <v>111</v>
      </c>
      <c r="G110" s="3">
        <v>1893271</v>
      </c>
      <c r="H110" s="2" t="str">
        <f t="shared" si="2"/>
        <v>2020-Q2</v>
      </c>
      <c r="I110" s="2" t="str">
        <f t="shared" si="3"/>
        <v>No</v>
      </c>
    </row>
    <row r="111" spans="1:9" ht="15" customHeight="1" x14ac:dyDescent="0.35">
      <c r="A111" s="2" t="s">
        <v>114</v>
      </c>
      <c r="B111" s="2" t="s">
        <v>15</v>
      </c>
      <c r="C111" s="2" t="s">
        <v>11</v>
      </c>
      <c r="D111" s="2" t="s">
        <v>110</v>
      </c>
      <c r="E111" s="2">
        <v>2020</v>
      </c>
      <c r="F111" s="2" t="s">
        <v>111</v>
      </c>
      <c r="G111" s="3">
        <v>688034</v>
      </c>
      <c r="H111" s="2" t="str">
        <f t="shared" si="2"/>
        <v>2020-Q2</v>
      </c>
      <c r="I111" s="2" t="str">
        <f t="shared" si="3"/>
        <v>No</v>
      </c>
    </row>
    <row r="112" spans="1:9" ht="15" customHeight="1" x14ac:dyDescent="0.35">
      <c r="A112" s="2" t="s">
        <v>115</v>
      </c>
      <c r="B112" s="2" t="s">
        <v>15</v>
      </c>
      <c r="C112" s="2" t="s">
        <v>11</v>
      </c>
      <c r="D112" s="2" t="s">
        <v>110</v>
      </c>
      <c r="E112" s="2">
        <v>2020</v>
      </c>
      <c r="F112" s="2" t="s">
        <v>111</v>
      </c>
      <c r="G112" s="3">
        <v>1612228</v>
      </c>
      <c r="H112" s="2" t="str">
        <f t="shared" si="2"/>
        <v>2020-Q2</v>
      </c>
      <c r="I112" s="2" t="str">
        <f t="shared" si="3"/>
        <v>No</v>
      </c>
    </row>
    <row r="113" spans="1:9" ht="15" customHeight="1" x14ac:dyDescent="0.35">
      <c r="A113" s="2" t="s">
        <v>116</v>
      </c>
      <c r="B113" s="2" t="s">
        <v>15</v>
      </c>
      <c r="C113" s="2" t="s">
        <v>11</v>
      </c>
      <c r="D113" s="2" t="s">
        <v>110</v>
      </c>
      <c r="E113" s="2">
        <v>2020</v>
      </c>
      <c r="F113" s="2" t="s">
        <v>111</v>
      </c>
      <c r="G113" s="3">
        <v>1945477</v>
      </c>
      <c r="H113" s="2" t="str">
        <f t="shared" si="2"/>
        <v>2020-Q2</v>
      </c>
      <c r="I113" s="2" t="str">
        <f t="shared" si="3"/>
        <v>No</v>
      </c>
    </row>
    <row r="114" spans="1:9" ht="15" customHeight="1" x14ac:dyDescent="0.35">
      <c r="A114" s="2" t="s">
        <v>116</v>
      </c>
      <c r="B114" s="2" t="s">
        <v>15</v>
      </c>
      <c r="C114" s="2" t="s">
        <v>11</v>
      </c>
      <c r="D114" s="2" t="s">
        <v>110</v>
      </c>
      <c r="E114" s="2">
        <v>2020</v>
      </c>
      <c r="F114" s="2" t="s">
        <v>111</v>
      </c>
      <c r="G114" s="3">
        <v>350572</v>
      </c>
      <c r="H114" s="2" t="str">
        <f t="shared" si="2"/>
        <v>2020-Q2</v>
      </c>
      <c r="I114" s="2" t="str">
        <f t="shared" si="3"/>
        <v>No</v>
      </c>
    </row>
    <row r="115" spans="1:9" ht="15" customHeight="1" x14ac:dyDescent="0.35">
      <c r="A115" s="2" t="s">
        <v>116</v>
      </c>
      <c r="B115" s="2" t="s">
        <v>15</v>
      </c>
      <c r="C115" s="2" t="s">
        <v>11</v>
      </c>
      <c r="D115" s="2" t="s">
        <v>110</v>
      </c>
      <c r="E115" s="2">
        <v>2020</v>
      </c>
      <c r="F115" s="2" t="s">
        <v>111</v>
      </c>
      <c r="G115" s="3">
        <v>1083441</v>
      </c>
      <c r="H115" s="2" t="str">
        <f t="shared" si="2"/>
        <v>2020-Q2</v>
      </c>
      <c r="I115" s="2" t="str">
        <f t="shared" si="3"/>
        <v>No</v>
      </c>
    </row>
    <row r="116" spans="1:9" ht="15" customHeight="1" x14ac:dyDescent="0.35">
      <c r="A116" s="2" t="s">
        <v>117</v>
      </c>
      <c r="B116" s="2" t="s">
        <v>15</v>
      </c>
      <c r="C116" s="2" t="s">
        <v>11</v>
      </c>
      <c r="D116" s="2" t="s">
        <v>110</v>
      </c>
      <c r="E116" s="2">
        <v>2020</v>
      </c>
      <c r="F116" s="2" t="s">
        <v>111</v>
      </c>
      <c r="G116" s="3">
        <v>340954</v>
      </c>
      <c r="H116" s="2" t="str">
        <f t="shared" si="2"/>
        <v>2020-Q2</v>
      </c>
      <c r="I116" s="2" t="str">
        <f t="shared" si="3"/>
        <v>No</v>
      </c>
    </row>
    <row r="117" spans="1:9" ht="15" customHeight="1" x14ac:dyDescent="0.35">
      <c r="A117" s="2" t="s">
        <v>118</v>
      </c>
      <c r="B117" s="2" t="s">
        <v>15</v>
      </c>
      <c r="C117" s="2" t="s">
        <v>11</v>
      </c>
      <c r="D117" s="2" t="s">
        <v>110</v>
      </c>
      <c r="E117" s="2">
        <v>2020</v>
      </c>
      <c r="F117" s="2" t="s">
        <v>111</v>
      </c>
      <c r="G117" s="3">
        <v>166600</v>
      </c>
      <c r="H117" s="2" t="str">
        <f t="shared" si="2"/>
        <v>2020-Q2</v>
      </c>
      <c r="I117" s="2" t="str">
        <f t="shared" si="3"/>
        <v>No</v>
      </c>
    </row>
    <row r="118" spans="1:9" ht="15" customHeight="1" x14ac:dyDescent="0.35">
      <c r="A118" s="2" t="s">
        <v>119</v>
      </c>
      <c r="B118" s="2" t="s">
        <v>15</v>
      </c>
      <c r="C118" s="2" t="s">
        <v>11</v>
      </c>
      <c r="D118" s="2" t="s">
        <v>110</v>
      </c>
      <c r="E118" s="2">
        <v>2020</v>
      </c>
      <c r="F118" s="2" t="s">
        <v>111</v>
      </c>
      <c r="G118" s="3">
        <v>1675768</v>
      </c>
      <c r="H118" s="2" t="str">
        <f t="shared" si="2"/>
        <v>2020-Q2</v>
      </c>
      <c r="I118" s="2" t="str">
        <f t="shared" si="3"/>
        <v>No</v>
      </c>
    </row>
    <row r="119" spans="1:9" ht="15" customHeight="1" x14ac:dyDescent="0.35">
      <c r="A119" s="2" t="s">
        <v>120</v>
      </c>
      <c r="B119" s="2" t="s">
        <v>15</v>
      </c>
      <c r="C119" s="2" t="s">
        <v>11</v>
      </c>
      <c r="D119" s="2" t="s">
        <v>110</v>
      </c>
      <c r="E119" s="2">
        <v>2020</v>
      </c>
      <c r="F119" s="2" t="s">
        <v>111</v>
      </c>
      <c r="G119" s="3">
        <v>140361</v>
      </c>
      <c r="H119" s="2" t="str">
        <f t="shared" si="2"/>
        <v>2020-Q2</v>
      </c>
      <c r="I119" s="2" t="str">
        <f t="shared" si="3"/>
        <v>No</v>
      </c>
    </row>
    <row r="120" spans="1:9" ht="15" customHeight="1" x14ac:dyDescent="0.35">
      <c r="A120" s="2" t="s">
        <v>121</v>
      </c>
      <c r="B120" s="2" t="s">
        <v>15</v>
      </c>
      <c r="C120" s="2" t="s">
        <v>11</v>
      </c>
      <c r="D120" s="2" t="s">
        <v>110</v>
      </c>
      <c r="E120" s="2">
        <v>2020</v>
      </c>
      <c r="F120" s="2" t="s">
        <v>111</v>
      </c>
      <c r="G120" s="3">
        <v>1671316</v>
      </c>
      <c r="H120" s="2" t="str">
        <f t="shared" si="2"/>
        <v>2020-Q2</v>
      </c>
      <c r="I120" s="2" t="str">
        <f t="shared" si="3"/>
        <v>No</v>
      </c>
    </row>
    <row r="121" spans="1:9" ht="15" customHeight="1" x14ac:dyDescent="0.35">
      <c r="A121" s="2" t="s">
        <v>122</v>
      </c>
      <c r="B121" s="2" t="s">
        <v>15</v>
      </c>
      <c r="C121" s="2" t="s">
        <v>11</v>
      </c>
      <c r="D121" s="2" t="s">
        <v>110</v>
      </c>
      <c r="E121" s="2">
        <v>2020</v>
      </c>
      <c r="F121" s="2" t="s">
        <v>111</v>
      </c>
      <c r="G121" s="3">
        <v>1968717</v>
      </c>
      <c r="H121" s="2" t="str">
        <f t="shared" si="2"/>
        <v>2020-Q2</v>
      </c>
      <c r="I121" s="2" t="str">
        <f t="shared" si="3"/>
        <v>No</v>
      </c>
    </row>
    <row r="122" spans="1:9" ht="15" customHeight="1" x14ac:dyDescent="0.35">
      <c r="A122" s="2" t="s">
        <v>123</v>
      </c>
      <c r="B122" s="2" t="s">
        <v>15</v>
      </c>
      <c r="C122" s="2" t="s">
        <v>25</v>
      </c>
      <c r="D122" s="2" t="s">
        <v>110</v>
      </c>
      <c r="E122" s="2">
        <v>2020</v>
      </c>
      <c r="F122" s="2" t="s">
        <v>111</v>
      </c>
      <c r="G122" s="3">
        <v>393879</v>
      </c>
      <c r="H122" s="2" t="str">
        <f t="shared" si="2"/>
        <v>2020-Q2</v>
      </c>
      <c r="I122" s="2" t="str">
        <f t="shared" si="3"/>
        <v>No</v>
      </c>
    </row>
    <row r="123" spans="1:9" ht="15" customHeight="1" x14ac:dyDescent="0.35">
      <c r="A123" s="2" t="s">
        <v>124</v>
      </c>
      <c r="B123" s="2" t="s">
        <v>15</v>
      </c>
      <c r="C123" s="2" t="s">
        <v>11</v>
      </c>
      <c r="D123" s="2" t="s">
        <v>110</v>
      </c>
      <c r="E123" s="2">
        <v>2020</v>
      </c>
      <c r="F123" s="2" t="s">
        <v>111</v>
      </c>
      <c r="G123" s="3">
        <v>1489957</v>
      </c>
      <c r="H123" s="2" t="str">
        <f t="shared" si="2"/>
        <v>2020-Q2</v>
      </c>
      <c r="I123" s="2" t="str">
        <f t="shared" si="3"/>
        <v>No</v>
      </c>
    </row>
    <row r="124" spans="1:9" ht="15" customHeight="1" x14ac:dyDescent="0.35">
      <c r="A124" s="2" t="s">
        <v>125</v>
      </c>
      <c r="B124" s="2" t="s">
        <v>15</v>
      </c>
      <c r="C124" s="2" t="s">
        <v>25</v>
      </c>
      <c r="D124" s="2" t="s">
        <v>110</v>
      </c>
      <c r="E124" s="2">
        <v>2020</v>
      </c>
      <c r="F124" s="2" t="s">
        <v>111</v>
      </c>
      <c r="G124" s="3">
        <v>343043</v>
      </c>
      <c r="H124" s="2" t="str">
        <f t="shared" si="2"/>
        <v>2020-Q2</v>
      </c>
      <c r="I124" s="2" t="str">
        <f t="shared" si="3"/>
        <v>No</v>
      </c>
    </row>
    <row r="125" spans="1:9" ht="15" customHeight="1" x14ac:dyDescent="0.35">
      <c r="A125" s="2" t="s">
        <v>125</v>
      </c>
      <c r="B125" s="2" t="s">
        <v>15</v>
      </c>
      <c r="C125" s="2" t="s">
        <v>11</v>
      </c>
      <c r="D125" s="2" t="s">
        <v>110</v>
      </c>
      <c r="E125" s="2">
        <v>2020</v>
      </c>
      <c r="F125" s="2" t="s">
        <v>111</v>
      </c>
      <c r="G125" s="3">
        <v>156636</v>
      </c>
      <c r="H125" s="2" t="str">
        <f t="shared" si="2"/>
        <v>2020-Q2</v>
      </c>
      <c r="I125" s="2" t="str">
        <f t="shared" si="3"/>
        <v>No</v>
      </c>
    </row>
    <row r="126" spans="1:9" ht="15" customHeight="1" x14ac:dyDescent="0.35">
      <c r="A126" s="2" t="s">
        <v>126</v>
      </c>
      <c r="B126" s="2" t="s">
        <v>15</v>
      </c>
      <c r="C126" s="2" t="s">
        <v>25</v>
      </c>
      <c r="D126" s="2" t="s">
        <v>110</v>
      </c>
      <c r="E126" s="2">
        <v>2020</v>
      </c>
      <c r="F126" s="2" t="s">
        <v>111</v>
      </c>
      <c r="G126" s="3">
        <v>153941</v>
      </c>
      <c r="H126" s="2" t="str">
        <f t="shared" si="2"/>
        <v>2020-Q2</v>
      </c>
      <c r="I126" s="2" t="str">
        <f t="shared" si="3"/>
        <v>No</v>
      </c>
    </row>
    <row r="127" spans="1:9" ht="15" customHeight="1" x14ac:dyDescent="0.35">
      <c r="A127" s="2" t="s">
        <v>127</v>
      </c>
      <c r="B127" s="2" t="s">
        <v>15</v>
      </c>
      <c r="C127" s="2" t="s">
        <v>25</v>
      </c>
      <c r="D127" s="2" t="s">
        <v>110</v>
      </c>
      <c r="E127" s="2">
        <v>2020</v>
      </c>
      <c r="F127" s="2" t="s">
        <v>111</v>
      </c>
      <c r="G127" s="3">
        <v>1725603</v>
      </c>
      <c r="H127" s="2" t="str">
        <f t="shared" si="2"/>
        <v>2020-Q2</v>
      </c>
      <c r="I127" s="2" t="str">
        <f t="shared" si="3"/>
        <v>No</v>
      </c>
    </row>
    <row r="128" spans="1:9" ht="15" customHeight="1" x14ac:dyDescent="0.35">
      <c r="A128" s="2" t="s">
        <v>128</v>
      </c>
      <c r="B128" s="2" t="s">
        <v>27</v>
      </c>
      <c r="C128" s="2" t="s">
        <v>21</v>
      </c>
      <c r="D128" s="2" t="s">
        <v>110</v>
      </c>
      <c r="E128" s="2">
        <v>2020</v>
      </c>
      <c r="F128" s="2" t="s">
        <v>111</v>
      </c>
      <c r="G128" s="3">
        <v>661441</v>
      </c>
      <c r="H128" s="2" t="str">
        <f t="shared" si="2"/>
        <v>2020-Q2</v>
      </c>
      <c r="I128" s="2" t="str">
        <f t="shared" si="3"/>
        <v>No</v>
      </c>
    </row>
    <row r="129" spans="1:9" ht="15" customHeight="1" x14ac:dyDescent="0.35">
      <c r="A129" s="2" t="s">
        <v>129</v>
      </c>
      <c r="B129" s="2" t="s">
        <v>15</v>
      </c>
      <c r="C129" s="2" t="s">
        <v>25</v>
      </c>
      <c r="D129" s="2" t="s">
        <v>110</v>
      </c>
      <c r="E129" s="2">
        <v>2020</v>
      </c>
      <c r="F129" s="2" t="s">
        <v>111</v>
      </c>
      <c r="G129" s="3">
        <v>1225116</v>
      </c>
      <c r="H129" s="2" t="str">
        <f t="shared" si="2"/>
        <v>2020-Q2</v>
      </c>
      <c r="I129" s="2" t="str">
        <f t="shared" si="3"/>
        <v>No</v>
      </c>
    </row>
    <row r="130" spans="1:9" ht="15" customHeight="1" x14ac:dyDescent="0.35">
      <c r="A130" s="2" t="s">
        <v>130</v>
      </c>
      <c r="B130" s="2" t="s">
        <v>15</v>
      </c>
      <c r="C130" s="2" t="s">
        <v>25</v>
      </c>
      <c r="D130" s="2" t="s">
        <v>131</v>
      </c>
      <c r="E130" s="2">
        <v>2020</v>
      </c>
      <c r="F130" s="2" t="s">
        <v>111</v>
      </c>
      <c r="G130" s="3">
        <v>1542829</v>
      </c>
      <c r="H130" s="2" t="str">
        <f t="shared" ref="H130:H193" si="4">E130&amp;"-"&amp;F130</f>
        <v>2020-Q2</v>
      </c>
      <c r="I130" s="2" t="str">
        <f t="shared" ref="I130:I193" si="5">IF(E130=2019,"Yes","No")</f>
        <v>No</v>
      </c>
    </row>
    <row r="131" spans="1:9" ht="15" customHeight="1" x14ac:dyDescent="0.35">
      <c r="A131" s="2" t="s">
        <v>132</v>
      </c>
      <c r="B131" s="2" t="s">
        <v>15</v>
      </c>
      <c r="C131" s="2" t="s">
        <v>25</v>
      </c>
      <c r="D131" s="2" t="s">
        <v>131</v>
      </c>
      <c r="E131" s="2">
        <v>2020</v>
      </c>
      <c r="F131" s="2" t="s">
        <v>111</v>
      </c>
      <c r="G131" s="3">
        <v>1297497</v>
      </c>
      <c r="H131" s="2" t="str">
        <f t="shared" si="4"/>
        <v>2020-Q2</v>
      </c>
      <c r="I131" s="2" t="str">
        <f t="shared" si="5"/>
        <v>No</v>
      </c>
    </row>
    <row r="132" spans="1:9" ht="15" customHeight="1" x14ac:dyDescent="0.35">
      <c r="A132" s="2" t="s">
        <v>132</v>
      </c>
      <c r="B132" s="2" t="s">
        <v>27</v>
      </c>
      <c r="C132" s="2" t="s">
        <v>25</v>
      </c>
      <c r="D132" s="2" t="s">
        <v>131</v>
      </c>
      <c r="E132" s="2">
        <v>2020</v>
      </c>
      <c r="F132" s="2" t="s">
        <v>111</v>
      </c>
      <c r="G132" s="3">
        <v>1950030</v>
      </c>
      <c r="H132" s="2" t="str">
        <f t="shared" si="4"/>
        <v>2020-Q2</v>
      </c>
      <c r="I132" s="2" t="str">
        <f t="shared" si="5"/>
        <v>No</v>
      </c>
    </row>
    <row r="133" spans="1:9" ht="15" customHeight="1" x14ac:dyDescent="0.35">
      <c r="A133" s="2" t="s">
        <v>133</v>
      </c>
      <c r="B133" s="2" t="s">
        <v>15</v>
      </c>
      <c r="C133" s="2" t="s">
        <v>21</v>
      </c>
      <c r="D133" s="2" t="s">
        <v>131</v>
      </c>
      <c r="E133" s="2">
        <v>2020</v>
      </c>
      <c r="F133" s="2" t="s">
        <v>111</v>
      </c>
      <c r="G133" s="3">
        <v>1438207</v>
      </c>
      <c r="H133" s="2" t="str">
        <f t="shared" si="4"/>
        <v>2020-Q2</v>
      </c>
      <c r="I133" s="2" t="str">
        <f t="shared" si="5"/>
        <v>No</v>
      </c>
    </row>
    <row r="134" spans="1:9" ht="15" customHeight="1" x14ac:dyDescent="0.35">
      <c r="A134" s="2" t="s">
        <v>134</v>
      </c>
      <c r="B134" s="2" t="s">
        <v>15</v>
      </c>
      <c r="C134" s="2" t="s">
        <v>25</v>
      </c>
      <c r="D134" s="2" t="s">
        <v>131</v>
      </c>
      <c r="E134" s="2">
        <v>2020</v>
      </c>
      <c r="F134" s="2" t="s">
        <v>111</v>
      </c>
      <c r="G134" s="3">
        <v>1122487</v>
      </c>
      <c r="H134" s="2" t="str">
        <f t="shared" si="4"/>
        <v>2020-Q2</v>
      </c>
      <c r="I134" s="2" t="str">
        <f t="shared" si="5"/>
        <v>No</v>
      </c>
    </row>
    <row r="135" spans="1:9" ht="15" customHeight="1" x14ac:dyDescent="0.35">
      <c r="A135" s="2" t="s">
        <v>135</v>
      </c>
      <c r="B135" s="2" t="s">
        <v>27</v>
      </c>
      <c r="C135" s="2" t="s">
        <v>25</v>
      </c>
      <c r="D135" s="2" t="s">
        <v>131</v>
      </c>
      <c r="E135" s="2">
        <v>2020</v>
      </c>
      <c r="F135" s="2" t="s">
        <v>111</v>
      </c>
      <c r="G135" s="3">
        <v>364278</v>
      </c>
      <c r="H135" s="2" t="str">
        <f t="shared" si="4"/>
        <v>2020-Q2</v>
      </c>
      <c r="I135" s="2" t="str">
        <f t="shared" si="5"/>
        <v>No</v>
      </c>
    </row>
    <row r="136" spans="1:9" ht="15" customHeight="1" x14ac:dyDescent="0.35">
      <c r="A136" s="2" t="s">
        <v>135</v>
      </c>
      <c r="B136" s="2" t="s">
        <v>15</v>
      </c>
      <c r="C136" s="2" t="s">
        <v>25</v>
      </c>
      <c r="D136" s="2" t="s">
        <v>131</v>
      </c>
      <c r="E136" s="2">
        <v>2020</v>
      </c>
      <c r="F136" s="2" t="s">
        <v>111</v>
      </c>
      <c r="G136" s="3">
        <v>297267</v>
      </c>
      <c r="H136" s="2" t="str">
        <f t="shared" si="4"/>
        <v>2020-Q2</v>
      </c>
      <c r="I136" s="2" t="str">
        <f t="shared" si="5"/>
        <v>No</v>
      </c>
    </row>
    <row r="137" spans="1:9" ht="15" customHeight="1" x14ac:dyDescent="0.35">
      <c r="A137" s="2" t="s">
        <v>136</v>
      </c>
      <c r="B137" s="2" t="s">
        <v>15</v>
      </c>
      <c r="C137" s="2" t="s">
        <v>25</v>
      </c>
      <c r="D137" s="2" t="s">
        <v>131</v>
      </c>
      <c r="E137" s="2">
        <v>2020</v>
      </c>
      <c r="F137" s="2" t="s">
        <v>111</v>
      </c>
      <c r="G137" s="3">
        <v>731138</v>
      </c>
      <c r="H137" s="2" t="str">
        <f t="shared" si="4"/>
        <v>2020-Q2</v>
      </c>
      <c r="I137" s="2" t="str">
        <f t="shared" si="5"/>
        <v>No</v>
      </c>
    </row>
    <row r="138" spans="1:9" ht="15" customHeight="1" x14ac:dyDescent="0.35">
      <c r="A138" s="2" t="s">
        <v>137</v>
      </c>
      <c r="B138" s="2" t="s">
        <v>15</v>
      </c>
      <c r="C138" s="2" t="s">
        <v>25</v>
      </c>
      <c r="D138" s="2" t="s">
        <v>131</v>
      </c>
      <c r="E138" s="2">
        <v>2020</v>
      </c>
      <c r="F138" s="2" t="s">
        <v>111</v>
      </c>
      <c r="G138" s="3">
        <v>1558700</v>
      </c>
      <c r="H138" s="2" t="str">
        <f t="shared" si="4"/>
        <v>2020-Q2</v>
      </c>
      <c r="I138" s="2" t="str">
        <f t="shared" si="5"/>
        <v>No</v>
      </c>
    </row>
    <row r="139" spans="1:9" ht="15" customHeight="1" x14ac:dyDescent="0.35">
      <c r="A139" s="2" t="s">
        <v>138</v>
      </c>
      <c r="B139" s="2" t="s">
        <v>15</v>
      </c>
      <c r="C139" s="2" t="s">
        <v>11</v>
      </c>
      <c r="D139" s="2" t="s">
        <v>131</v>
      </c>
      <c r="E139" s="2">
        <v>2020</v>
      </c>
      <c r="F139" s="2" t="s">
        <v>111</v>
      </c>
      <c r="G139" s="3">
        <v>130451</v>
      </c>
      <c r="H139" s="2" t="str">
        <f t="shared" si="4"/>
        <v>2020-Q2</v>
      </c>
      <c r="I139" s="2" t="str">
        <f t="shared" si="5"/>
        <v>No</v>
      </c>
    </row>
    <row r="140" spans="1:9" ht="15" customHeight="1" x14ac:dyDescent="0.35">
      <c r="A140" s="2" t="s">
        <v>138</v>
      </c>
      <c r="B140" s="2" t="s">
        <v>27</v>
      </c>
      <c r="C140" s="2" t="s">
        <v>25</v>
      </c>
      <c r="D140" s="2" t="s">
        <v>131</v>
      </c>
      <c r="E140" s="2">
        <v>2020</v>
      </c>
      <c r="F140" s="2" t="s">
        <v>111</v>
      </c>
      <c r="G140" s="3">
        <v>1798005</v>
      </c>
      <c r="H140" s="2" t="str">
        <f t="shared" si="4"/>
        <v>2020-Q2</v>
      </c>
      <c r="I140" s="2" t="str">
        <f t="shared" si="5"/>
        <v>No</v>
      </c>
    </row>
    <row r="141" spans="1:9" ht="15" customHeight="1" x14ac:dyDescent="0.35">
      <c r="A141" s="2" t="s">
        <v>138</v>
      </c>
      <c r="B141" s="2" t="s">
        <v>15</v>
      </c>
      <c r="C141" s="2" t="s">
        <v>25</v>
      </c>
      <c r="D141" s="2" t="s">
        <v>131</v>
      </c>
      <c r="E141" s="2">
        <v>2020</v>
      </c>
      <c r="F141" s="2" t="s">
        <v>111</v>
      </c>
      <c r="G141" s="3">
        <v>956910</v>
      </c>
      <c r="H141" s="2" t="str">
        <f t="shared" si="4"/>
        <v>2020-Q2</v>
      </c>
      <c r="I141" s="2" t="str">
        <f t="shared" si="5"/>
        <v>No</v>
      </c>
    </row>
    <row r="142" spans="1:9" ht="15" customHeight="1" x14ac:dyDescent="0.35">
      <c r="A142" s="2" t="s">
        <v>139</v>
      </c>
      <c r="B142" s="2" t="s">
        <v>15</v>
      </c>
      <c r="C142" s="2" t="s">
        <v>21</v>
      </c>
      <c r="D142" s="2" t="s">
        <v>131</v>
      </c>
      <c r="E142" s="2">
        <v>2020</v>
      </c>
      <c r="F142" s="2" t="s">
        <v>111</v>
      </c>
      <c r="G142" s="3">
        <v>1973431</v>
      </c>
      <c r="H142" s="2" t="str">
        <f t="shared" si="4"/>
        <v>2020-Q2</v>
      </c>
      <c r="I142" s="2" t="str">
        <f t="shared" si="5"/>
        <v>No</v>
      </c>
    </row>
    <row r="143" spans="1:9" ht="15" customHeight="1" x14ac:dyDescent="0.35">
      <c r="A143" s="2" t="s">
        <v>140</v>
      </c>
      <c r="B143" s="2" t="s">
        <v>27</v>
      </c>
      <c r="C143" s="2" t="s">
        <v>21</v>
      </c>
      <c r="D143" s="2" t="s">
        <v>131</v>
      </c>
      <c r="E143" s="2">
        <v>2020</v>
      </c>
      <c r="F143" s="2" t="s">
        <v>111</v>
      </c>
      <c r="G143" s="3">
        <v>922236</v>
      </c>
      <c r="H143" s="2" t="str">
        <f t="shared" si="4"/>
        <v>2020-Q2</v>
      </c>
      <c r="I143" s="2" t="str">
        <f t="shared" si="5"/>
        <v>No</v>
      </c>
    </row>
    <row r="144" spans="1:9" ht="15" customHeight="1" x14ac:dyDescent="0.35">
      <c r="A144" s="2" t="s">
        <v>141</v>
      </c>
      <c r="B144" s="2" t="s">
        <v>15</v>
      </c>
      <c r="C144" s="2" t="s">
        <v>21</v>
      </c>
      <c r="D144" s="2" t="s">
        <v>131</v>
      </c>
      <c r="E144" s="2">
        <v>2020</v>
      </c>
      <c r="F144" s="2" t="s">
        <v>111</v>
      </c>
      <c r="G144" s="3">
        <v>945055</v>
      </c>
      <c r="H144" s="2" t="str">
        <f t="shared" si="4"/>
        <v>2020-Q2</v>
      </c>
      <c r="I144" s="2" t="str">
        <f t="shared" si="5"/>
        <v>No</v>
      </c>
    </row>
    <row r="145" spans="1:9" ht="15" customHeight="1" x14ac:dyDescent="0.35">
      <c r="A145" s="2" t="s">
        <v>142</v>
      </c>
      <c r="B145" s="2" t="s">
        <v>27</v>
      </c>
      <c r="C145" s="2" t="s">
        <v>21</v>
      </c>
      <c r="D145" s="2" t="s">
        <v>12</v>
      </c>
      <c r="E145" s="2">
        <v>2020</v>
      </c>
      <c r="F145" s="2" t="s">
        <v>13</v>
      </c>
      <c r="G145" s="3">
        <v>1246308</v>
      </c>
      <c r="H145" s="2" t="str">
        <f t="shared" si="4"/>
        <v>2020-Q3</v>
      </c>
      <c r="I145" s="2" t="str">
        <f t="shared" si="5"/>
        <v>No</v>
      </c>
    </row>
    <row r="146" spans="1:9" ht="15" customHeight="1" x14ac:dyDescent="0.35">
      <c r="A146" s="2" t="s">
        <v>142</v>
      </c>
      <c r="B146" s="2" t="s">
        <v>15</v>
      </c>
      <c r="C146" s="2" t="s">
        <v>21</v>
      </c>
      <c r="D146" s="2" t="s">
        <v>12</v>
      </c>
      <c r="E146" s="2">
        <v>2020</v>
      </c>
      <c r="F146" s="2" t="s">
        <v>13</v>
      </c>
      <c r="G146" s="3">
        <v>1500441</v>
      </c>
      <c r="H146" s="2" t="str">
        <f t="shared" si="4"/>
        <v>2020-Q3</v>
      </c>
      <c r="I146" s="2" t="str">
        <f t="shared" si="5"/>
        <v>No</v>
      </c>
    </row>
    <row r="147" spans="1:9" ht="15" customHeight="1" x14ac:dyDescent="0.35">
      <c r="A147" s="2" t="s">
        <v>143</v>
      </c>
      <c r="B147" s="2" t="s">
        <v>15</v>
      </c>
      <c r="C147" s="2" t="s">
        <v>21</v>
      </c>
      <c r="D147" s="2" t="s">
        <v>12</v>
      </c>
      <c r="E147" s="2">
        <v>2020</v>
      </c>
      <c r="F147" s="2" t="s">
        <v>13</v>
      </c>
      <c r="G147" s="3">
        <v>1009099</v>
      </c>
      <c r="H147" s="2" t="str">
        <f t="shared" si="4"/>
        <v>2020-Q3</v>
      </c>
      <c r="I147" s="2" t="str">
        <f t="shared" si="5"/>
        <v>No</v>
      </c>
    </row>
    <row r="148" spans="1:9" ht="15" customHeight="1" x14ac:dyDescent="0.35">
      <c r="A148" s="2" t="s">
        <v>144</v>
      </c>
      <c r="B148" s="2" t="s">
        <v>27</v>
      </c>
      <c r="C148" s="2" t="s">
        <v>21</v>
      </c>
      <c r="D148" s="2" t="s">
        <v>12</v>
      </c>
      <c r="E148" s="2">
        <v>2020</v>
      </c>
      <c r="F148" s="2" t="s">
        <v>13</v>
      </c>
      <c r="G148" s="3">
        <v>466491</v>
      </c>
      <c r="H148" s="2" t="str">
        <f t="shared" si="4"/>
        <v>2020-Q3</v>
      </c>
      <c r="I148" s="2" t="str">
        <f t="shared" si="5"/>
        <v>No</v>
      </c>
    </row>
    <row r="149" spans="1:9" ht="15" customHeight="1" x14ac:dyDescent="0.35">
      <c r="A149" s="2" t="s">
        <v>145</v>
      </c>
      <c r="B149" s="2" t="s">
        <v>27</v>
      </c>
      <c r="C149" s="2" t="s">
        <v>11</v>
      </c>
      <c r="D149" s="2" t="s">
        <v>12</v>
      </c>
      <c r="E149" s="2">
        <v>2020</v>
      </c>
      <c r="F149" s="2" t="s">
        <v>13</v>
      </c>
      <c r="G149" s="3">
        <v>1193385</v>
      </c>
      <c r="H149" s="2" t="str">
        <f t="shared" si="4"/>
        <v>2020-Q3</v>
      </c>
      <c r="I149" s="2" t="str">
        <f t="shared" si="5"/>
        <v>No</v>
      </c>
    </row>
    <row r="150" spans="1:9" ht="15" customHeight="1" x14ac:dyDescent="0.35">
      <c r="A150" s="2" t="s">
        <v>146</v>
      </c>
      <c r="B150" s="2" t="s">
        <v>27</v>
      </c>
      <c r="C150" s="2" t="s">
        <v>21</v>
      </c>
      <c r="D150" s="2" t="s">
        <v>12</v>
      </c>
      <c r="E150" s="2">
        <v>2020</v>
      </c>
      <c r="F150" s="2" t="s">
        <v>13</v>
      </c>
      <c r="G150" s="3">
        <v>625849</v>
      </c>
      <c r="H150" s="2" t="str">
        <f t="shared" si="4"/>
        <v>2020-Q3</v>
      </c>
      <c r="I150" s="2" t="str">
        <f t="shared" si="5"/>
        <v>No</v>
      </c>
    </row>
    <row r="151" spans="1:9" ht="15" customHeight="1" x14ac:dyDescent="0.35">
      <c r="A151" s="2" t="s">
        <v>147</v>
      </c>
      <c r="B151" s="2" t="s">
        <v>15</v>
      </c>
      <c r="C151" s="2" t="s">
        <v>21</v>
      </c>
      <c r="D151" s="2" t="s">
        <v>12</v>
      </c>
      <c r="E151" s="2">
        <v>2020</v>
      </c>
      <c r="F151" s="2" t="s">
        <v>13</v>
      </c>
      <c r="G151" s="3">
        <v>796233</v>
      </c>
      <c r="H151" s="2" t="str">
        <f t="shared" si="4"/>
        <v>2020-Q3</v>
      </c>
      <c r="I151" s="2" t="str">
        <f t="shared" si="5"/>
        <v>No</v>
      </c>
    </row>
    <row r="152" spans="1:9" ht="15" customHeight="1" x14ac:dyDescent="0.35">
      <c r="A152" s="2" t="s">
        <v>148</v>
      </c>
      <c r="B152" s="2" t="s">
        <v>27</v>
      </c>
      <c r="C152" s="2" t="s">
        <v>21</v>
      </c>
      <c r="D152" s="2" t="s">
        <v>12</v>
      </c>
      <c r="E152" s="2">
        <v>2020</v>
      </c>
      <c r="F152" s="2" t="s">
        <v>13</v>
      </c>
      <c r="G152" s="3">
        <v>1820445</v>
      </c>
      <c r="H152" s="2" t="str">
        <f t="shared" si="4"/>
        <v>2020-Q3</v>
      </c>
      <c r="I152" s="2" t="str">
        <f t="shared" si="5"/>
        <v>No</v>
      </c>
    </row>
    <row r="153" spans="1:9" ht="15" customHeight="1" x14ac:dyDescent="0.35">
      <c r="A153" s="2" t="s">
        <v>149</v>
      </c>
      <c r="B153" s="2" t="s">
        <v>27</v>
      </c>
      <c r="C153" s="2" t="s">
        <v>21</v>
      </c>
      <c r="D153" s="2" t="s">
        <v>12</v>
      </c>
      <c r="E153" s="2">
        <v>2020</v>
      </c>
      <c r="F153" s="2" t="s">
        <v>13</v>
      </c>
      <c r="G153" s="3">
        <v>1813892</v>
      </c>
      <c r="H153" s="2" t="str">
        <f t="shared" si="4"/>
        <v>2020-Q3</v>
      </c>
      <c r="I153" s="2" t="str">
        <f t="shared" si="5"/>
        <v>No</v>
      </c>
    </row>
    <row r="154" spans="1:9" ht="15" customHeight="1" x14ac:dyDescent="0.35">
      <c r="A154" s="2" t="s">
        <v>150</v>
      </c>
      <c r="B154" s="2" t="s">
        <v>15</v>
      </c>
      <c r="C154" s="2" t="s">
        <v>11</v>
      </c>
      <c r="D154" s="2" t="s">
        <v>12</v>
      </c>
      <c r="E154" s="2">
        <v>2020</v>
      </c>
      <c r="F154" s="2" t="s">
        <v>13</v>
      </c>
      <c r="G154" s="3">
        <v>164169</v>
      </c>
      <c r="H154" s="2" t="str">
        <f t="shared" si="4"/>
        <v>2020-Q3</v>
      </c>
      <c r="I154" s="2" t="str">
        <f t="shared" si="5"/>
        <v>No</v>
      </c>
    </row>
    <row r="155" spans="1:9" ht="15" customHeight="1" x14ac:dyDescent="0.35">
      <c r="A155" s="2" t="s">
        <v>151</v>
      </c>
      <c r="B155" s="2" t="s">
        <v>15</v>
      </c>
      <c r="C155" s="2" t="s">
        <v>21</v>
      </c>
      <c r="D155" s="2" t="s">
        <v>12</v>
      </c>
      <c r="E155" s="2">
        <v>2020</v>
      </c>
      <c r="F155" s="2" t="s">
        <v>13</v>
      </c>
      <c r="G155" s="3">
        <v>512670</v>
      </c>
      <c r="H155" s="2" t="str">
        <f t="shared" si="4"/>
        <v>2020-Q3</v>
      </c>
      <c r="I155" s="2" t="str">
        <f t="shared" si="5"/>
        <v>No</v>
      </c>
    </row>
    <row r="156" spans="1:9" ht="15" customHeight="1" x14ac:dyDescent="0.35">
      <c r="A156" s="2" t="s">
        <v>152</v>
      </c>
      <c r="B156" s="2" t="s">
        <v>15</v>
      </c>
      <c r="C156" s="2" t="s">
        <v>11</v>
      </c>
      <c r="D156" s="2" t="s">
        <v>22</v>
      </c>
      <c r="E156" s="2">
        <v>2020</v>
      </c>
      <c r="F156" s="2" t="s">
        <v>13</v>
      </c>
      <c r="G156" s="3">
        <v>651065</v>
      </c>
      <c r="H156" s="2" t="str">
        <f t="shared" si="4"/>
        <v>2020-Q3</v>
      </c>
      <c r="I156" s="2" t="str">
        <f t="shared" si="5"/>
        <v>No</v>
      </c>
    </row>
    <row r="157" spans="1:9" ht="15" customHeight="1" x14ac:dyDescent="0.35">
      <c r="A157" s="2" t="s">
        <v>153</v>
      </c>
      <c r="B157" s="2" t="s">
        <v>15</v>
      </c>
      <c r="C157" s="2" t="s">
        <v>11</v>
      </c>
      <c r="D157" s="2" t="s">
        <v>22</v>
      </c>
      <c r="E157" s="2">
        <v>2020</v>
      </c>
      <c r="F157" s="2" t="s">
        <v>13</v>
      </c>
      <c r="G157" s="3">
        <v>718481</v>
      </c>
      <c r="H157" s="2" t="str">
        <f t="shared" si="4"/>
        <v>2020-Q3</v>
      </c>
      <c r="I157" s="2" t="str">
        <f t="shared" si="5"/>
        <v>No</v>
      </c>
    </row>
    <row r="158" spans="1:9" ht="15" customHeight="1" x14ac:dyDescent="0.35">
      <c r="A158" s="2" t="s">
        <v>154</v>
      </c>
      <c r="B158" s="2" t="s">
        <v>27</v>
      </c>
      <c r="C158" s="2" t="s">
        <v>11</v>
      </c>
      <c r="D158" s="2" t="s">
        <v>22</v>
      </c>
      <c r="E158" s="2">
        <v>2020</v>
      </c>
      <c r="F158" s="2" t="s">
        <v>13</v>
      </c>
      <c r="G158" s="3">
        <v>1447439</v>
      </c>
      <c r="H158" s="2" t="str">
        <f t="shared" si="4"/>
        <v>2020-Q3</v>
      </c>
      <c r="I158" s="2" t="str">
        <f t="shared" si="5"/>
        <v>No</v>
      </c>
    </row>
    <row r="159" spans="1:9" ht="15" customHeight="1" x14ac:dyDescent="0.35">
      <c r="A159" s="2" t="s">
        <v>155</v>
      </c>
      <c r="B159" s="2" t="s">
        <v>27</v>
      </c>
      <c r="C159" s="2" t="s">
        <v>11</v>
      </c>
      <c r="D159" s="2" t="s">
        <v>22</v>
      </c>
      <c r="E159" s="2">
        <v>2020</v>
      </c>
      <c r="F159" s="2" t="s">
        <v>13</v>
      </c>
      <c r="G159" s="3">
        <v>1780271</v>
      </c>
      <c r="H159" s="2" t="str">
        <f t="shared" si="4"/>
        <v>2020-Q3</v>
      </c>
      <c r="I159" s="2" t="str">
        <f t="shared" si="5"/>
        <v>No</v>
      </c>
    </row>
    <row r="160" spans="1:9" ht="15" customHeight="1" x14ac:dyDescent="0.35">
      <c r="A160" s="2" t="s">
        <v>156</v>
      </c>
      <c r="B160" s="2" t="s">
        <v>27</v>
      </c>
      <c r="C160" s="2" t="s">
        <v>21</v>
      </c>
      <c r="D160" s="2" t="s">
        <v>22</v>
      </c>
      <c r="E160" s="2">
        <v>2020</v>
      </c>
      <c r="F160" s="2" t="s">
        <v>13</v>
      </c>
      <c r="G160" s="3">
        <v>1045298</v>
      </c>
      <c r="H160" s="2" t="str">
        <f t="shared" si="4"/>
        <v>2020-Q3</v>
      </c>
      <c r="I160" s="2" t="str">
        <f t="shared" si="5"/>
        <v>No</v>
      </c>
    </row>
    <row r="161" spans="1:9" ht="15" customHeight="1" x14ac:dyDescent="0.35">
      <c r="A161" s="2" t="s">
        <v>156</v>
      </c>
      <c r="B161" s="2" t="s">
        <v>27</v>
      </c>
      <c r="C161" s="2" t="s">
        <v>11</v>
      </c>
      <c r="D161" s="2" t="s">
        <v>22</v>
      </c>
      <c r="E161" s="2">
        <v>2020</v>
      </c>
      <c r="F161" s="2" t="s">
        <v>13</v>
      </c>
      <c r="G161" s="3">
        <v>892802</v>
      </c>
      <c r="H161" s="2" t="str">
        <f t="shared" si="4"/>
        <v>2020-Q3</v>
      </c>
      <c r="I161" s="2" t="str">
        <f t="shared" si="5"/>
        <v>No</v>
      </c>
    </row>
    <row r="162" spans="1:9" ht="15" customHeight="1" x14ac:dyDescent="0.35">
      <c r="A162" s="2" t="s">
        <v>157</v>
      </c>
      <c r="B162" s="2" t="s">
        <v>15</v>
      </c>
      <c r="C162" s="2" t="s">
        <v>11</v>
      </c>
      <c r="D162" s="2" t="s">
        <v>22</v>
      </c>
      <c r="E162" s="2">
        <v>2020</v>
      </c>
      <c r="F162" s="2" t="s">
        <v>13</v>
      </c>
      <c r="G162" s="3">
        <v>423820</v>
      </c>
      <c r="H162" s="2" t="str">
        <f t="shared" si="4"/>
        <v>2020-Q3</v>
      </c>
      <c r="I162" s="2" t="str">
        <f t="shared" si="5"/>
        <v>No</v>
      </c>
    </row>
    <row r="163" spans="1:9" ht="15" customHeight="1" x14ac:dyDescent="0.35">
      <c r="A163" s="2" t="s">
        <v>158</v>
      </c>
      <c r="B163" s="2" t="s">
        <v>15</v>
      </c>
      <c r="C163" s="2" t="s">
        <v>11</v>
      </c>
      <c r="D163" s="2" t="s">
        <v>22</v>
      </c>
      <c r="E163" s="2">
        <v>2020</v>
      </c>
      <c r="F163" s="2" t="s">
        <v>13</v>
      </c>
      <c r="G163" s="3">
        <v>1046614</v>
      </c>
      <c r="H163" s="2" t="str">
        <f t="shared" si="4"/>
        <v>2020-Q3</v>
      </c>
      <c r="I163" s="2" t="str">
        <f t="shared" si="5"/>
        <v>No</v>
      </c>
    </row>
    <row r="164" spans="1:9" ht="15" customHeight="1" x14ac:dyDescent="0.35">
      <c r="A164" s="2" t="s">
        <v>159</v>
      </c>
      <c r="B164" s="2" t="s">
        <v>15</v>
      </c>
      <c r="C164" s="2" t="s">
        <v>11</v>
      </c>
      <c r="D164" s="2" t="s">
        <v>22</v>
      </c>
      <c r="E164" s="2">
        <v>2020</v>
      </c>
      <c r="F164" s="2" t="s">
        <v>13</v>
      </c>
      <c r="G164" s="3">
        <v>1043729</v>
      </c>
      <c r="H164" s="2" t="str">
        <f t="shared" si="4"/>
        <v>2020-Q3</v>
      </c>
      <c r="I164" s="2" t="str">
        <f t="shared" si="5"/>
        <v>No</v>
      </c>
    </row>
    <row r="165" spans="1:9" ht="15" customHeight="1" x14ac:dyDescent="0.35">
      <c r="A165" s="2" t="s">
        <v>159</v>
      </c>
      <c r="B165" s="2" t="s">
        <v>15</v>
      </c>
      <c r="C165" s="2" t="s">
        <v>11</v>
      </c>
      <c r="D165" s="2" t="s">
        <v>22</v>
      </c>
      <c r="E165" s="2">
        <v>2020</v>
      </c>
      <c r="F165" s="2" t="s">
        <v>13</v>
      </c>
      <c r="G165" s="3">
        <v>1922617</v>
      </c>
      <c r="H165" s="2" t="str">
        <f t="shared" si="4"/>
        <v>2020-Q3</v>
      </c>
      <c r="I165" s="2" t="str">
        <f t="shared" si="5"/>
        <v>No</v>
      </c>
    </row>
    <row r="166" spans="1:9" ht="15" customHeight="1" x14ac:dyDescent="0.35">
      <c r="A166" s="2" t="s">
        <v>160</v>
      </c>
      <c r="B166" s="2" t="s">
        <v>27</v>
      </c>
      <c r="C166" s="2" t="s">
        <v>11</v>
      </c>
      <c r="D166" s="2" t="s">
        <v>22</v>
      </c>
      <c r="E166" s="2">
        <v>2020</v>
      </c>
      <c r="F166" s="2" t="s">
        <v>13</v>
      </c>
      <c r="G166" s="3">
        <v>1423294</v>
      </c>
      <c r="H166" s="2" t="str">
        <f t="shared" si="4"/>
        <v>2020-Q3</v>
      </c>
      <c r="I166" s="2" t="str">
        <f t="shared" si="5"/>
        <v>No</v>
      </c>
    </row>
    <row r="167" spans="1:9" ht="15" customHeight="1" x14ac:dyDescent="0.35">
      <c r="A167" s="2" t="s">
        <v>161</v>
      </c>
      <c r="B167" s="2" t="s">
        <v>27</v>
      </c>
      <c r="C167" s="2" t="s">
        <v>16</v>
      </c>
      <c r="D167" s="2" t="s">
        <v>22</v>
      </c>
      <c r="E167" s="2">
        <v>2020</v>
      </c>
      <c r="F167" s="2" t="s">
        <v>13</v>
      </c>
      <c r="G167" s="3">
        <v>1852090</v>
      </c>
      <c r="H167" s="2" t="str">
        <f t="shared" si="4"/>
        <v>2020-Q3</v>
      </c>
      <c r="I167" s="2" t="str">
        <f t="shared" si="5"/>
        <v>No</v>
      </c>
    </row>
    <row r="168" spans="1:9" ht="15" customHeight="1" x14ac:dyDescent="0.35">
      <c r="A168" s="2" t="s">
        <v>162</v>
      </c>
      <c r="B168" s="2" t="s">
        <v>27</v>
      </c>
      <c r="C168" s="2" t="s">
        <v>16</v>
      </c>
      <c r="D168" s="2" t="s">
        <v>22</v>
      </c>
      <c r="E168" s="2">
        <v>2020</v>
      </c>
      <c r="F168" s="2" t="s">
        <v>13</v>
      </c>
      <c r="G168" s="3">
        <v>1725787</v>
      </c>
      <c r="H168" s="2" t="str">
        <f t="shared" si="4"/>
        <v>2020-Q3</v>
      </c>
      <c r="I168" s="2" t="str">
        <f t="shared" si="5"/>
        <v>No</v>
      </c>
    </row>
    <row r="169" spans="1:9" ht="15" customHeight="1" x14ac:dyDescent="0.35">
      <c r="A169" s="2" t="s">
        <v>163</v>
      </c>
      <c r="B169" s="2" t="s">
        <v>27</v>
      </c>
      <c r="C169" s="2" t="s">
        <v>16</v>
      </c>
      <c r="D169" s="2" t="s">
        <v>22</v>
      </c>
      <c r="E169" s="2">
        <v>2020</v>
      </c>
      <c r="F169" s="2" t="s">
        <v>13</v>
      </c>
      <c r="G169" s="3">
        <v>1441497</v>
      </c>
      <c r="H169" s="2" t="str">
        <f t="shared" si="4"/>
        <v>2020-Q3</v>
      </c>
      <c r="I169" s="2" t="str">
        <f t="shared" si="5"/>
        <v>No</v>
      </c>
    </row>
    <row r="170" spans="1:9" ht="15" customHeight="1" x14ac:dyDescent="0.35">
      <c r="A170" s="2" t="s">
        <v>164</v>
      </c>
      <c r="B170" s="2" t="s">
        <v>27</v>
      </c>
      <c r="C170" s="2" t="s">
        <v>16</v>
      </c>
      <c r="D170" s="2" t="s">
        <v>22</v>
      </c>
      <c r="E170" s="2">
        <v>2020</v>
      </c>
      <c r="F170" s="2" t="s">
        <v>13</v>
      </c>
      <c r="G170" s="3">
        <v>833493</v>
      </c>
      <c r="H170" s="2" t="str">
        <f t="shared" si="4"/>
        <v>2020-Q3</v>
      </c>
      <c r="I170" s="2" t="str">
        <f t="shared" si="5"/>
        <v>No</v>
      </c>
    </row>
    <row r="171" spans="1:9" ht="15" customHeight="1" x14ac:dyDescent="0.35">
      <c r="A171" s="2" t="s">
        <v>165</v>
      </c>
      <c r="B171" s="2" t="s">
        <v>15</v>
      </c>
      <c r="C171" s="2" t="s">
        <v>16</v>
      </c>
      <c r="D171" s="2" t="s">
        <v>22</v>
      </c>
      <c r="E171" s="2">
        <v>2020</v>
      </c>
      <c r="F171" s="2" t="s">
        <v>13</v>
      </c>
      <c r="G171" s="3">
        <v>521666</v>
      </c>
      <c r="H171" s="2" t="str">
        <f t="shared" si="4"/>
        <v>2020-Q3</v>
      </c>
      <c r="I171" s="2" t="str">
        <f t="shared" si="5"/>
        <v>No</v>
      </c>
    </row>
    <row r="172" spans="1:9" ht="15" customHeight="1" x14ac:dyDescent="0.35">
      <c r="A172" s="2" t="s">
        <v>166</v>
      </c>
      <c r="B172" s="2" t="s">
        <v>27</v>
      </c>
      <c r="C172" s="2" t="s">
        <v>16</v>
      </c>
      <c r="D172" s="2" t="s">
        <v>22</v>
      </c>
      <c r="E172" s="2">
        <v>2020</v>
      </c>
      <c r="F172" s="2" t="s">
        <v>13</v>
      </c>
      <c r="G172" s="3">
        <v>1577468</v>
      </c>
      <c r="H172" s="2" t="str">
        <f t="shared" si="4"/>
        <v>2020-Q3</v>
      </c>
      <c r="I172" s="2" t="str">
        <f t="shared" si="5"/>
        <v>No</v>
      </c>
    </row>
    <row r="173" spans="1:9" ht="15" customHeight="1" x14ac:dyDescent="0.35">
      <c r="A173" s="2" t="s">
        <v>167</v>
      </c>
      <c r="B173" s="2" t="s">
        <v>27</v>
      </c>
      <c r="C173" s="2" t="s">
        <v>16</v>
      </c>
      <c r="D173" s="2" t="s">
        <v>31</v>
      </c>
      <c r="E173" s="2">
        <v>2020</v>
      </c>
      <c r="F173" s="2" t="s">
        <v>13</v>
      </c>
      <c r="G173" s="3">
        <v>1067087</v>
      </c>
      <c r="H173" s="2" t="str">
        <f t="shared" si="4"/>
        <v>2020-Q3</v>
      </c>
      <c r="I173" s="2" t="str">
        <f t="shared" si="5"/>
        <v>No</v>
      </c>
    </row>
    <row r="174" spans="1:9" ht="15" customHeight="1" x14ac:dyDescent="0.35">
      <c r="A174" s="2" t="s">
        <v>168</v>
      </c>
      <c r="B174" s="2" t="s">
        <v>27</v>
      </c>
      <c r="C174" s="2" t="s">
        <v>16</v>
      </c>
      <c r="D174" s="2" t="s">
        <v>31</v>
      </c>
      <c r="E174" s="2">
        <v>2020</v>
      </c>
      <c r="F174" s="2" t="s">
        <v>13</v>
      </c>
      <c r="G174" s="3">
        <v>1317235</v>
      </c>
      <c r="H174" s="2" t="str">
        <f t="shared" si="4"/>
        <v>2020-Q3</v>
      </c>
      <c r="I174" s="2" t="str">
        <f t="shared" si="5"/>
        <v>No</v>
      </c>
    </row>
    <row r="175" spans="1:9" ht="15" customHeight="1" x14ac:dyDescent="0.35">
      <c r="A175" s="2" t="s">
        <v>169</v>
      </c>
      <c r="B175" s="2" t="s">
        <v>27</v>
      </c>
      <c r="C175" s="2" t="s">
        <v>11</v>
      </c>
      <c r="D175" s="2" t="s">
        <v>31</v>
      </c>
      <c r="E175" s="2">
        <v>2020</v>
      </c>
      <c r="F175" s="2" t="s">
        <v>13</v>
      </c>
      <c r="G175" s="3">
        <v>1643988</v>
      </c>
      <c r="H175" s="2" t="str">
        <f t="shared" si="4"/>
        <v>2020-Q3</v>
      </c>
      <c r="I175" s="2" t="str">
        <f t="shared" si="5"/>
        <v>No</v>
      </c>
    </row>
    <row r="176" spans="1:9" ht="15" customHeight="1" x14ac:dyDescent="0.35">
      <c r="A176" s="2" t="s">
        <v>170</v>
      </c>
      <c r="B176" s="2" t="s">
        <v>27</v>
      </c>
      <c r="C176" s="2" t="s">
        <v>16</v>
      </c>
      <c r="D176" s="2" t="s">
        <v>31</v>
      </c>
      <c r="E176" s="2">
        <v>2020</v>
      </c>
      <c r="F176" s="2" t="s">
        <v>13</v>
      </c>
      <c r="G176" s="3">
        <v>1924235</v>
      </c>
      <c r="H176" s="2" t="str">
        <f t="shared" si="4"/>
        <v>2020-Q3</v>
      </c>
      <c r="I176" s="2" t="str">
        <f t="shared" si="5"/>
        <v>No</v>
      </c>
    </row>
    <row r="177" spans="1:9" ht="15" customHeight="1" x14ac:dyDescent="0.35">
      <c r="A177" s="2" t="s">
        <v>171</v>
      </c>
      <c r="B177" s="2" t="s">
        <v>27</v>
      </c>
      <c r="C177" s="2" t="s">
        <v>16</v>
      </c>
      <c r="D177" s="2" t="s">
        <v>31</v>
      </c>
      <c r="E177" s="2">
        <v>2020</v>
      </c>
      <c r="F177" s="2" t="s">
        <v>13</v>
      </c>
      <c r="G177" s="3">
        <v>573419</v>
      </c>
      <c r="H177" s="2" t="str">
        <f t="shared" si="4"/>
        <v>2020-Q3</v>
      </c>
      <c r="I177" s="2" t="str">
        <f t="shared" si="5"/>
        <v>No</v>
      </c>
    </row>
    <row r="178" spans="1:9" ht="15" customHeight="1" x14ac:dyDescent="0.35">
      <c r="A178" s="2" t="s">
        <v>171</v>
      </c>
      <c r="B178" s="2" t="s">
        <v>15</v>
      </c>
      <c r="C178" s="2" t="s">
        <v>21</v>
      </c>
      <c r="D178" s="2" t="s">
        <v>31</v>
      </c>
      <c r="E178" s="2">
        <v>2020</v>
      </c>
      <c r="F178" s="2" t="s">
        <v>13</v>
      </c>
      <c r="G178" s="3">
        <v>1091814</v>
      </c>
      <c r="H178" s="2" t="str">
        <f t="shared" si="4"/>
        <v>2020-Q3</v>
      </c>
      <c r="I178" s="2" t="str">
        <f t="shared" si="5"/>
        <v>No</v>
      </c>
    </row>
    <row r="179" spans="1:9" ht="15" customHeight="1" x14ac:dyDescent="0.35">
      <c r="A179" s="2" t="s">
        <v>172</v>
      </c>
      <c r="B179" s="2" t="s">
        <v>15</v>
      </c>
      <c r="C179" s="2" t="s">
        <v>21</v>
      </c>
      <c r="D179" s="2" t="s">
        <v>31</v>
      </c>
      <c r="E179" s="2">
        <v>2020</v>
      </c>
      <c r="F179" s="2" t="s">
        <v>13</v>
      </c>
      <c r="G179" s="3">
        <v>138386</v>
      </c>
      <c r="H179" s="2" t="str">
        <f t="shared" si="4"/>
        <v>2020-Q3</v>
      </c>
      <c r="I179" s="2" t="str">
        <f t="shared" si="5"/>
        <v>No</v>
      </c>
    </row>
    <row r="180" spans="1:9" ht="15" customHeight="1" x14ac:dyDescent="0.35">
      <c r="A180" s="2" t="s">
        <v>172</v>
      </c>
      <c r="B180" s="2" t="s">
        <v>27</v>
      </c>
      <c r="C180" s="2" t="s">
        <v>21</v>
      </c>
      <c r="D180" s="2" t="s">
        <v>31</v>
      </c>
      <c r="E180" s="2">
        <v>2020</v>
      </c>
      <c r="F180" s="2" t="s">
        <v>13</v>
      </c>
      <c r="G180" s="3">
        <v>1343979</v>
      </c>
      <c r="H180" s="2" t="str">
        <f t="shared" si="4"/>
        <v>2020-Q3</v>
      </c>
      <c r="I180" s="2" t="str">
        <f t="shared" si="5"/>
        <v>No</v>
      </c>
    </row>
    <row r="181" spans="1:9" ht="15" customHeight="1" x14ac:dyDescent="0.35">
      <c r="A181" s="2" t="s">
        <v>172</v>
      </c>
      <c r="B181" s="2" t="s">
        <v>27</v>
      </c>
      <c r="C181" s="2" t="s">
        <v>21</v>
      </c>
      <c r="D181" s="2" t="s">
        <v>31</v>
      </c>
      <c r="E181" s="2">
        <v>2020</v>
      </c>
      <c r="F181" s="2" t="s">
        <v>13</v>
      </c>
      <c r="G181" s="3">
        <v>1897685</v>
      </c>
      <c r="H181" s="2" t="str">
        <f t="shared" si="4"/>
        <v>2020-Q3</v>
      </c>
      <c r="I181" s="2" t="str">
        <f t="shared" si="5"/>
        <v>No</v>
      </c>
    </row>
    <row r="182" spans="1:9" ht="15" customHeight="1" x14ac:dyDescent="0.35">
      <c r="A182" s="2" t="s">
        <v>172</v>
      </c>
      <c r="B182" s="2" t="s">
        <v>27</v>
      </c>
      <c r="C182" s="2" t="s">
        <v>21</v>
      </c>
      <c r="D182" s="2" t="s">
        <v>31</v>
      </c>
      <c r="E182" s="2">
        <v>2020</v>
      </c>
      <c r="F182" s="2" t="s">
        <v>13</v>
      </c>
      <c r="G182" s="3">
        <v>1216179</v>
      </c>
      <c r="H182" s="2" t="str">
        <f t="shared" si="4"/>
        <v>2020-Q3</v>
      </c>
      <c r="I182" s="2" t="str">
        <f t="shared" si="5"/>
        <v>No</v>
      </c>
    </row>
    <row r="183" spans="1:9" ht="15" customHeight="1" x14ac:dyDescent="0.35">
      <c r="A183" s="2" t="s">
        <v>172</v>
      </c>
      <c r="B183" s="2" t="s">
        <v>27</v>
      </c>
      <c r="C183" s="2" t="s">
        <v>21</v>
      </c>
      <c r="D183" s="2" t="s">
        <v>31</v>
      </c>
      <c r="E183" s="2">
        <v>2020</v>
      </c>
      <c r="F183" s="2" t="s">
        <v>13</v>
      </c>
      <c r="G183" s="3">
        <v>460067</v>
      </c>
      <c r="H183" s="2" t="str">
        <f t="shared" si="4"/>
        <v>2020-Q3</v>
      </c>
      <c r="I183" s="2" t="str">
        <f t="shared" si="5"/>
        <v>No</v>
      </c>
    </row>
    <row r="184" spans="1:9" ht="15" customHeight="1" x14ac:dyDescent="0.35">
      <c r="A184" s="2" t="s">
        <v>173</v>
      </c>
      <c r="B184" s="2" t="s">
        <v>27</v>
      </c>
      <c r="C184" s="2" t="s">
        <v>21</v>
      </c>
      <c r="D184" s="2" t="s">
        <v>31</v>
      </c>
      <c r="E184" s="2">
        <v>2020</v>
      </c>
      <c r="F184" s="2" t="s">
        <v>13</v>
      </c>
      <c r="G184" s="3">
        <v>1288399</v>
      </c>
      <c r="H184" s="2" t="str">
        <f t="shared" si="4"/>
        <v>2020-Q3</v>
      </c>
      <c r="I184" s="2" t="str">
        <f t="shared" si="5"/>
        <v>No</v>
      </c>
    </row>
    <row r="185" spans="1:9" ht="15" customHeight="1" x14ac:dyDescent="0.35">
      <c r="A185" s="2" t="s">
        <v>174</v>
      </c>
      <c r="B185" s="2" t="s">
        <v>27</v>
      </c>
      <c r="C185" s="2" t="s">
        <v>21</v>
      </c>
      <c r="D185" s="2" t="s">
        <v>31</v>
      </c>
      <c r="E185" s="2">
        <v>2020</v>
      </c>
      <c r="F185" s="2" t="s">
        <v>13</v>
      </c>
      <c r="G185" s="3">
        <v>1715151</v>
      </c>
      <c r="H185" s="2" t="str">
        <f t="shared" si="4"/>
        <v>2020-Q3</v>
      </c>
      <c r="I185" s="2" t="str">
        <f t="shared" si="5"/>
        <v>No</v>
      </c>
    </row>
    <row r="186" spans="1:9" ht="15" customHeight="1" x14ac:dyDescent="0.35">
      <c r="A186" s="2" t="s">
        <v>175</v>
      </c>
      <c r="B186" s="2" t="s">
        <v>15</v>
      </c>
      <c r="C186" s="2" t="s">
        <v>11</v>
      </c>
      <c r="D186" s="2" t="s">
        <v>31</v>
      </c>
      <c r="E186" s="2">
        <v>2020</v>
      </c>
      <c r="F186" s="2" t="s">
        <v>13</v>
      </c>
      <c r="G186" s="3">
        <v>719167</v>
      </c>
      <c r="H186" s="2" t="str">
        <f t="shared" si="4"/>
        <v>2020-Q3</v>
      </c>
      <c r="I186" s="2" t="str">
        <f t="shared" si="5"/>
        <v>No</v>
      </c>
    </row>
    <row r="187" spans="1:9" ht="15" customHeight="1" x14ac:dyDescent="0.35">
      <c r="A187" s="2" t="s">
        <v>175</v>
      </c>
      <c r="B187" s="2" t="s">
        <v>15</v>
      </c>
      <c r="C187" s="2" t="s">
        <v>16</v>
      </c>
      <c r="D187" s="2" t="s">
        <v>31</v>
      </c>
      <c r="E187" s="2">
        <v>2020</v>
      </c>
      <c r="F187" s="2" t="s">
        <v>13</v>
      </c>
      <c r="G187" s="3">
        <v>1033758</v>
      </c>
      <c r="H187" s="2" t="str">
        <f t="shared" si="4"/>
        <v>2020-Q3</v>
      </c>
      <c r="I187" s="2" t="str">
        <f t="shared" si="5"/>
        <v>No</v>
      </c>
    </row>
    <row r="188" spans="1:9" ht="15" customHeight="1" x14ac:dyDescent="0.35">
      <c r="A188" s="2" t="s">
        <v>176</v>
      </c>
      <c r="B188" s="2" t="s">
        <v>15</v>
      </c>
      <c r="C188" s="2" t="s">
        <v>25</v>
      </c>
      <c r="D188" s="2" t="s">
        <v>31</v>
      </c>
      <c r="E188" s="2">
        <v>2020</v>
      </c>
      <c r="F188" s="2" t="s">
        <v>13</v>
      </c>
      <c r="G188" s="3">
        <v>135507</v>
      </c>
      <c r="H188" s="2" t="str">
        <f t="shared" si="4"/>
        <v>2020-Q3</v>
      </c>
      <c r="I188" s="2" t="str">
        <f t="shared" si="5"/>
        <v>No</v>
      </c>
    </row>
    <row r="189" spans="1:9" ht="15" customHeight="1" x14ac:dyDescent="0.35">
      <c r="A189" s="2" t="s">
        <v>177</v>
      </c>
      <c r="B189" s="2" t="s">
        <v>15</v>
      </c>
      <c r="C189" s="2" t="s">
        <v>25</v>
      </c>
      <c r="D189" s="2" t="s">
        <v>31</v>
      </c>
      <c r="E189" s="2">
        <v>2020</v>
      </c>
      <c r="F189" s="2" t="s">
        <v>13</v>
      </c>
      <c r="G189" s="3">
        <v>767926</v>
      </c>
      <c r="H189" s="2" t="str">
        <f t="shared" si="4"/>
        <v>2020-Q3</v>
      </c>
      <c r="I189" s="2" t="str">
        <f t="shared" si="5"/>
        <v>No</v>
      </c>
    </row>
    <row r="190" spans="1:9" ht="15" customHeight="1" x14ac:dyDescent="0.35">
      <c r="A190" s="2" t="s">
        <v>178</v>
      </c>
      <c r="B190" s="2" t="s">
        <v>15</v>
      </c>
      <c r="C190" s="2" t="s">
        <v>25</v>
      </c>
      <c r="D190" s="2" t="s">
        <v>31</v>
      </c>
      <c r="E190" s="2">
        <v>2020</v>
      </c>
      <c r="F190" s="2" t="s">
        <v>13</v>
      </c>
      <c r="G190" s="3">
        <v>844112</v>
      </c>
      <c r="H190" s="2" t="str">
        <f t="shared" si="4"/>
        <v>2020-Q3</v>
      </c>
      <c r="I190" s="2" t="str">
        <f t="shared" si="5"/>
        <v>No</v>
      </c>
    </row>
    <row r="191" spans="1:9" ht="15" customHeight="1" x14ac:dyDescent="0.35">
      <c r="A191" s="2" t="s">
        <v>178</v>
      </c>
      <c r="B191" s="2" t="s">
        <v>15</v>
      </c>
      <c r="C191" s="2" t="s">
        <v>25</v>
      </c>
      <c r="D191" s="2" t="s">
        <v>31</v>
      </c>
      <c r="E191" s="2">
        <v>2020</v>
      </c>
      <c r="F191" s="2" t="s">
        <v>13</v>
      </c>
      <c r="G191" s="3">
        <v>957901</v>
      </c>
      <c r="H191" s="2" t="str">
        <f t="shared" si="4"/>
        <v>2020-Q3</v>
      </c>
      <c r="I191" s="2" t="str">
        <f t="shared" si="5"/>
        <v>No</v>
      </c>
    </row>
    <row r="192" spans="1:9" ht="15" customHeight="1" x14ac:dyDescent="0.35">
      <c r="A192" s="2" t="s">
        <v>178</v>
      </c>
      <c r="B192" s="2" t="s">
        <v>15</v>
      </c>
      <c r="C192" s="2" t="s">
        <v>21</v>
      </c>
      <c r="D192" s="2" t="s">
        <v>31</v>
      </c>
      <c r="E192" s="2">
        <v>2020</v>
      </c>
      <c r="F192" s="2" t="s">
        <v>13</v>
      </c>
      <c r="G192" s="3">
        <v>1480514</v>
      </c>
      <c r="H192" s="2" t="str">
        <f t="shared" si="4"/>
        <v>2020-Q3</v>
      </c>
      <c r="I192" s="2" t="str">
        <f t="shared" si="5"/>
        <v>No</v>
      </c>
    </row>
    <row r="193" spans="1:9" ht="15" customHeight="1" x14ac:dyDescent="0.35">
      <c r="A193" s="2" t="s">
        <v>179</v>
      </c>
      <c r="B193" s="2" t="s">
        <v>15</v>
      </c>
      <c r="C193" s="2" t="s">
        <v>21</v>
      </c>
      <c r="D193" s="2" t="s">
        <v>31</v>
      </c>
      <c r="E193" s="2">
        <v>2020</v>
      </c>
      <c r="F193" s="2" t="s">
        <v>13</v>
      </c>
      <c r="G193" s="3">
        <v>258649</v>
      </c>
      <c r="H193" s="2" t="str">
        <f t="shared" si="4"/>
        <v>2020-Q3</v>
      </c>
      <c r="I193" s="2" t="str">
        <f t="shared" si="5"/>
        <v>No</v>
      </c>
    </row>
    <row r="194" spans="1:9" ht="15" customHeight="1" x14ac:dyDescent="0.35">
      <c r="A194" s="2" t="s">
        <v>180</v>
      </c>
      <c r="B194" s="2" t="s">
        <v>15</v>
      </c>
      <c r="C194" s="2" t="s">
        <v>21</v>
      </c>
      <c r="D194" s="2" t="s">
        <v>31</v>
      </c>
      <c r="E194" s="2">
        <v>2020</v>
      </c>
      <c r="F194" s="2" t="s">
        <v>13</v>
      </c>
      <c r="G194" s="3">
        <v>207556</v>
      </c>
      <c r="H194" s="2" t="str">
        <f t="shared" ref="H194:H257" si="6">E194&amp;"-"&amp;F194</f>
        <v>2020-Q3</v>
      </c>
      <c r="I194" s="2" t="str">
        <f t="shared" ref="I194:I257" si="7">IF(E194=2019,"Yes","No")</f>
        <v>No</v>
      </c>
    </row>
    <row r="195" spans="1:9" ht="15" customHeight="1" x14ac:dyDescent="0.35">
      <c r="A195" s="2" t="s">
        <v>181</v>
      </c>
      <c r="B195" s="2" t="s">
        <v>15</v>
      </c>
      <c r="C195" s="2" t="s">
        <v>21</v>
      </c>
      <c r="D195" s="2" t="s">
        <v>31</v>
      </c>
      <c r="E195" s="2">
        <v>2020</v>
      </c>
      <c r="F195" s="2" t="s">
        <v>13</v>
      </c>
      <c r="G195" s="3">
        <v>1872294</v>
      </c>
      <c r="H195" s="2" t="str">
        <f t="shared" si="6"/>
        <v>2020-Q3</v>
      </c>
      <c r="I195" s="2" t="str">
        <f t="shared" si="7"/>
        <v>No</v>
      </c>
    </row>
    <row r="196" spans="1:9" ht="15" customHeight="1" x14ac:dyDescent="0.35">
      <c r="A196" s="2" t="s">
        <v>181</v>
      </c>
      <c r="B196" s="2" t="s">
        <v>27</v>
      </c>
      <c r="C196" s="2" t="s">
        <v>21</v>
      </c>
      <c r="D196" s="2" t="s">
        <v>31</v>
      </c>
      <c r="E196" s="2">
        <v>2020</v>
      </c>
      <c r="F196" s="2" t="s">
        <v>13</v>
      </c>
      <c r="G196" s="3">
        <v>627691</v>
      </c>
      <c r="H196" s="2" t="str">
        <f t="shared" si="6"/>
        <v>2020-Q3</v>
      </c>
      <c r="I196" s="2" t="str">
        <f t="shared" si="7"/>
        <v>No</v>
      </c>
    </row>
    <row r="197" spans="1:9" ht="15" customHeight="1" x14ac:dyDescent="0.35">
      <c r="A197" s="2" t="s">
        <v>182</v>
      </c>
      <c r="B197" s="2" t="s">
        <v>27</v>
      </c>
      <c r="C197" s="2" t="s">
        <v>11</v>
      </c>
      <c r="D197" s="2" t="s">
        <v>31</v>
      </c>
      <c r="E197" s="2">
        <v>2020</v>
      </c>
      <c r="F197" s="2" t="s">
        <v>13</v>
      </c>
      <c r="G197" s="3">
        <v>763764</v>
      </c>
      <c r="H197" s="2" t="str">
        <f t="shared" si="6"/>
        <v>2020-Q3</v>
      </c>
      <c r="I197" s="2" t="str">
        <f t="shared" si="7"/>
        <v>No</v>
      </c>
    </row>
    <row r="198" spans="1:9" ht="15" customHeight="1" x14ac:dyDescent="0.35">
      <c r="A198" s="2" t="s">
        <v>182</v>
      </c>
      <c r="B198" s="2" t="s">
        <v>27</v>
      </c>
      <c r="C198" s="2" t="s">
        <v>11</v>
      </c>
      <c r="D198" s="2" t="s">
        <v>31</v>
      </c>
      <c r="E198" s="2">
        <v>2020</v>
      </c>
      <c r="F198" s="2" t="s">
        <v>13</v>
      </c>
      <c r="G198" s="3">
        <v>1450975</v>
      </c>
      <c r="H198" s="2" t="str">
        <f t="shared" si="6"/>
        <v>2020-Q3</v>
      </c>
      <c r="I198" s="2" t="str">
        <f t="shared" si="7"/>
        <v>No</v>
      </c>
    </row>
    <row r="199" spans="1:9" ht="15" customHeight="1" x14ac:dyDescent="0.35">
      <c r="A199" s="2" t="s">
        <v>183</v>
      </c>
      <c r="B199" s="2" t="s">
        <v>27</v>
      </c>
      <c r="C199" s="2" t="s">
        <v>11</v>
      </c>
      <c r="D199" s="2" t="s">
        <v>31</v>
      </c>
      <c r="E199" s="2">
        <v>2020</v>
      </c>
      <c r="F199" s="2" t="s">
        <v>13</v>
      </c>
      <c r="G199" s="3">
        <v>666926</v>
      </c>
      <c r="H199" s="2" t="str">
        <f t="shared" si="6"/>
        <v>2020-Q3</v>
      </c>
      <c r="I199" s="2" t="str">
        <f t="shared" si="7"/>
        <v>No</v>
      </c>
    </row>
    <row r="200" spans="1:9" ht="15" customHeight="1" x14ac:dyDescent="0.35">
      <c r="A200" s="2" t="s">
        <v>184</v>
      </c>
      <c r="B200" s="2" t="s">
        <v>27</v>
      </c>
      <c r="C200" s="2" t="s">
        <v>11</v>
      </c>
      <c r="D200" s="2" t="s">
        <v>31</v>
      </c>
      <c r="E200" s="2">
        <v>2020</v>
      </c>
      <c r="F200" s="2" t="s">
        <v>13</v>
      </c>
      <c r="G200" s="3">
        <v>607578</v>
      </c>
      <c r="H200" s="2" t="str">
        <f t="shared" si="6"/>
        <v>2020-Q3</v>
      </c>
      <c r="I200" s="2" t="str">
        <f t="shared" si="7"/>
        <v>No</v>
      </c>
    </row>
    <row r="201" spans="1:9" ht="15" customHeight="1" x14ac:dyDescent="0.35">
      <c r="A201" s="2" t="s">
        <v>185</v>
      </c>
      <c r="B201" s="2" t="s">
        <v>27</v>
      </c>
      <c r="C201" s="2" t="s">
        <v>11</v>
      </c>
      <c r="D201" s="2" t="s">
        <v>34</v>
      </c>
      <c r="E201" s="2">
        <v>2020</v>
      </c>
      <c r="F201" s="2" t="s">
        <v>35</v>
      </c>
      <c r="G201" s="3">
        <v>263657</v>
      </c>
      <c r="H201" s="2" t="str">
        <f t="shared" si="6"/>
        <v>2020-Q4</v>
      </c>
      <c r="I201" s="2" t="str">
        <f t="shared" si="7"/>
        <v>No</v>
      </c>
    </row>
    <row r="202" spans="1:9" ht="15" customHeight="1" x14ac:dyDescent="0.35">
      <c r="A202" s="2" t="s">
        <v>185</v>
      </c>
      <c r="B202" s="2" t="s">
        <v>15</v>
      </c>
      <c r="C202" s="2" t="s">
        <v>11</v>
      </c>
      <c r="D202" s="2" t="s">
        <v>34</v>
      </c>
      <c r="E202" s="2">
        <v>2020</v>
      </c>
      <c r="F202" s="2" t="s">
        <v>35</v>
      </c>
      <c r="G202" s="3">
        <v>459636</v>
      </c>
      <c r="H202" s="2" t="str">
        <f t="shared" si="6"/>
        <v>2020-Q4</v>
      </c>
      <c r="I202" s="2" t="str">
        <f t="shared" si="7"/>
        <v>No</v>
      </c>
    </row>
    <row r="203" spans="1:9" ht="15" customHeight="1" x14ac:dyDescent="0.35">
      <c r="A203" s="2" t="s">
        <v>186</v>
      </c>
      <c r="B203" s="2" t="s">
        <v>27</v>
      </c>
      <c r="C203" s="2" t="s">
        <v>11</v>
      </c>
      <c r="D203" s="2" t="s">
        <v>34</v>
      </c>
      <c r="E203" s="2">
        <v>2020</v>
      </c>
      <c r="F203" s="2" t="s">
        <v>35</v>
      </c>
      <c r="G203" s="3">
        <v>320320</v>
      </c>
      <c r="H203" s="2" t="str">
        <f t="shared" si="6"/>
        <v>2020-Q4</v>
      </c>
      <c r="I203" s="2" t="str">
        <f t="shared" si="7"/>
        <v>No</v>
      </c>
    </row>
    <row r="204" spans="1:9" ht="15" customHeight="1" x14ac:dyDescent="0.35">
      <c r="A204" s="2" t="s">
        <v>186</v>
      </c>
      <c r="B204" s="2" t="s">
        <v>27</v>
      </c>
      <c r="C204" s="2" t="s">
        <v>11</v>
      </c>
      <c r="D204" s="2" t="s">
        <v>34</v>
      </c>
      <c r="E204" s="2">
        <v>2020</v>
      </c>
      <c r="F204" s="2" t="s">
        <v>35</v>
      </c>
      <c r="G204" s="3">
        <v>613065</v>
      </c>
      <c r="H204" s="2" t="str">
        <f t="shared" si="6"/>
        <v>2020-Q4</v>
      </c>
      <c r="I204" s="2" t="str">
        <f t="shared" si="7"/>
        <v>No</v>
      </c>
    </row>
    <row r="205" spans="1:9" ht="15" customHeight="1" x14ac:dyDescent="0.35">
      <c r="A205" s="2" t="s">
        <v>186</v>
      </c>
      <c r="B205" s="2" t="s">
        <v>27</v>
      </c>
      <c r="C205" s="2" t="s">
        <v>11</v>
      </c>
      <c r="D205" s="2" t="s">
        <v>34</v>
      </c>
      <c r="E205" s="2">
        <v>2020</v>
      </c>
      <c r="F205" s="2" t="s">
        <v>35</v>
      </c>
      <c r="G205" s="3">
        <v>1857433</v>
      </c>
      <c r="H205" s="2" t="str">
        <f t="shared" si="6"/>
        <v>2020-Q4</v>
      </c>
      <c r="I205" s="2" t="str">
        <f t="shared" si="7"/>
        <v>No</v>
      </c>
    </row>
    <row r="206" spans="1:9" ht="15" customHeight="1" x14ac:dyDescent="0.35">
      <c r="A206" s="2" t="s">
        <v>187</v>
      </c>
      <c r="B206" s="2" t="s">
        <v>27</v>
      </c>
      <c r="C206" s="2" t="s">
        <v>11</v>
      </c>
      <c r="D206" s="2" t="s">
        <v>34</v>
      </c>
      <c r="E206" s="2">
        <v>2020</v>
      </c>
      <c r="F206" s="2" t="s">
        <v>35</v>
      </c>
      <c r="G206" s="3">
        <v>1984820</v>
      </c>
      <c r="H206" s="2" t="str">
        <f t="shared" si="6"/>
        <v>2020-Q4</v>
      </c>
      <c r="I206" s="2" t="str">
        <f t="shared" si="7"/>
        <v>No</v>
      </c>
    </row>
    <row r="207" spans="1:9" ht="15" customHeight="1" x14ac:dyDescent="0.35">
      <c r="A207" s="2" t="s">
        <v>187</v>
      </c>
      <c r="B207" s="2" t="s">
        <v>27</v>
      </c>
      <c r="C207" s="2" t="s">
        <v>11</v>
      </c>
      <c r="D207" s="2" t="s">
        <v>34</v>
      </c>
      <c r="E207" s="2">
        <v>2020</v>
      </c>
      <c r="F207" s="2" t="s">
        <v>35</v>
      </c>
      <c r="G207" s="3">
        <v>1915029</v>
      </c>
      <c r="H207" s="2" t="str">
        <f t="shared" si="6"/>
        <v>2020-Q4</v>
      </c>
      <c r="I207" s="2" t="str">
        <f t="shared" si="7"/>
        <v>No</v>
      </c>
    </row>
    <row r="208" spans="1:9" ht="15" customHeight="1" x14ac:dyDescent="0.35">
      <c r="A208" s="2" t="s">
        <v>187</v>
      </c>
      <c r="B208" s="2" t="s">
        <v>15</v>
      </c>
      <c r="C208" s="2" t="s">
        <v>11</v>
      </c>
      <c r="D208" s="2" t="s">
        <v>34</v>
      </c>
      <c r="E208" s="2">
        <v>2020</v>
      </c>
      <c r="F208" s="2" t="s">
        <v>35</v>
      </c>
      <c r="G208" s="3">
        <v>1185740</v>
      </c>
      <c r="H208" s="2" t="str">
        <f t="shared" si="6"/>
        <v>2020-Q4</v>
      </c>
      <c r="I208" s="2" t="str">
        <f t="shared" si="7"/>
        <v>No</v>
      </c>
    </row>
    <row r="209" spans="1:9" ht="15" customHeight="1" x14ac:dyDescent="0.35">
      <c r="A209" s="2" t="s">
        <v>188</v>
      </c>
      <c r="B209" s="2" t="s">
        <v>27</v>
      </c>
      <c r="C209" s="2" t="s">
        <v>11</v>
      </c>
      <c r="D209" s="2" t="s">
        <v>34</v>
      </c>
      <c r="E209" s="2">
        <v>2020</v>
      </c>
      <c r="F209" s="2" t="s">
        <v>35</v>
      </c>
      <c r="G209" s="3">
        <v>190228</v>
      </c>
      <c r="H209" s="2" t="str">
        <f t="shared" si="6"/>
        <v>2020-Q4</v>
      </c>
      <c r="I209" s="2" t="str">
        <f t="shared" si="7"/>
        <v>No</v>
      </c>
    </row>
    <row r="210" spans="1:9" ht="15" customHeight="1" x14ac:dyDescent="0.35">
      <c r="A210" s="2" t="s">
        <v>189</v>
      </c>
      <c r="B210" s="2" t="s">
        <v>27</v>
      </c>
      <c r="C210" s="2" t="s">
        <v>11</v>
      </c>
      <c r="D210" s="2" t="s">
        <v>34</v>
      </c>
      <c r="E210" s="2">
        <v>2020</v>
      </c>
      <c r="F210" s="2" t="s">
        <v>35</v>
      </c>
      <c r="G210" s="3">
        <v>854982</v>
      </c>
      <c r="H210" s="2" t="str">
        <f t="shared" si="6"/>
        <v>2020-Q4</v>
      </c>
      <c r="I210" s="2" t="str">
        <f t="shared" si="7"/>
        <v>No</v>
      </c>
    </row>
    <row r="211" spans="1:9" ht="15" customHeight="1" x14ac:dyDescent="0.35">
      <c r="A211" s="2" t="s">
        <v>189</v>
      </c>
      <c r="B211" s="2" t="s">
        <v>27</v>
      </c>
      <c r="C211" s="2" t="s">
        <v>11</v>
      </c>
      <c r="D211" s="2" t="s">
        <v>34</v>
      </c>
      <c r="E211" s="2">
        <v>2020</v>
      </c>
      <c r="F211" s="2" t="s">
        <v>35</v>
      </c>
      <c r="G211" s="3">
        <v>1796239</v>
      </c>
      <c r="H211" s="2" t="str">
        <f t="shared" si="6"/>
        <v>2020-Q4</v>
      </c>
      <c r="I211" s="2" t="str">
        <f t="shared" si="7"/>
        <v>No</v>
      </c>
    </row>
    <row r="212" spans="1:9" ht="15" customHeight="1" x14ac:dyDescent="0.35">
      <c r="A212" s="2" t="s">
        <v>190</v>
      </c>
      <c r="B212" s="2" t="s">
        <v>15</v>
      </c>
      <c r="C212" s="2" t="s">
        <v>11</v>
      </c>
      <c r="D212" s="2" t="s">
        <v>34</v>
      </c>
      <c r="E212" s="2">
        <v>2020</v>
      </c>
      <c r="F212" s="2" t="s">
        <v>35</v>
      </c>
      <c r="G212" s="3">
        <v>1543421</v>
      </c>
      <c r="H212" s="2" t="str">
        <f t="shared" si="6"/>
        <v>2020-Q4</v>
      </c>
      <c r="I212" s="2" t="str">
        <f t="shared" si="7"/>
        <v>No</v>
      </c>
    </row>
    <row r="213" spans="1:9" ht="15" customHeight="1" x14ac:dyDescent="0.35">
      <c r="A213" s="2" t="s">
        <v>191</v>
      </c>
      <c r="B213" s="2" t="s">
        <v>27</v>
      </c>
      <c r="C213" s="2" t="s">
        <v>11</v>
      </c>
      <c r="D213" s="2" t="s">
        <v>34</v>
      </c>
      <c r="E213" s="2">
        <v>2020</v>
      </c>
      <c r="F213" s="2" t="s">
        <v>35</v>
      </c>
      <c r="G213" s="3">
        <v>885070</v>
      </c>
      <c r="H213" s="2" t="str">
        <f t="shared" si="6"/>
        <v>2020-Q4</v>
      </c>
      <c r="I213" s="2" t="str">
        <f t="shared" si="7"/>
        <v>No</v>
      </c>
    </row>
    <row r="214" spans="1:9" ht="15" customHeight="1" x14ac:dyDescent="0.35">
      <c r="A214" s="2" t="s">
        <v>192</v>
      </c>
      <c r="B214" s="2" t="s">
        <v>27</v>
      </c>
      <c r="C214" s="2" t="s">
        <v>21</v>
      </c>
      <c r="D214" s="2" t="s">
        <v>34</v>
      </c>
      <c r="E214" s="2">
        <v>2020</v>
      </c>
      <c r="F214" s="2" t="s">
        <v>35</v>
      </c>
      <c r="G214" s="3">
        <v>1430813</v>
      </c>
      <c r="H214" s="2" t="str">
        <f t="shared" si="6"/>
        <v>2020-Q4</v>
      </c>
      <c r="I214" s="2" t="str">
        <f t="shared" si="7"/>
        <v>No</v>
      </c>
    </row>
    <row r="215" spans="1:9" ht="15" customHeight="1" x14ac:dyDescent="0.35">
      <c r="A215" s="2" t="s">
        <v>193</v>
      </c>
      <c r="B215" s="2" t="s">
        <v>27</v>
      </c>
      <c r="C215" s="2" t="s">
        <v>21</v>
      </c>
      <c r="D215" s="2" t="s">
        <v>34</v>
      </c>
      <c r="E215" s="2">
        <v>2020</v>
      </c>
      <c r="F215" s="2" t="s">
        <v>35</v>
      </c>
      <c r="G215" s="3">
        <v>1493035</v>
      </c>
      <c r="H215" s="2" t="str">
        <f t="shared" si="6"/>
        <v>2020-Q4</v>
      </c>
      <c r="I215" s="2" t="str">
        <f t="shared" si="7"/>
        <v>No</v>
      </c>
    </row>
    <row r="216" spans="1:9" ht="15" customHeight="1" x14ac:dyDescent="0.35">
      <c r="A216" s="2" t="s">
        <v>194</v>
      </c>
      <c r="B216" s="2" t="s">
        <v>15</v>
      </c>
      <c r="C216" s="2" t="s">
        <v>21</v>
      </c>
      <c r="D216" s="2" t="s">
        <v>34</v>
      </c>
      <c r="E216" s="2">
        <v>2020</v>
      </c>
      <c r="F216" s="2" t="s">
        <v>35</v>
      </c>
      <c r="G216" s="3">
        <v>627891</v>
      </c>
      <c r="H216" s="2" t="str">
        <f t="shared" si="6"/>
        <v>2020-Q4</v>
      </c>
      <c r="I216" s="2" t="str">
        <f t="shared" si="7"/>
        <v>No</v>
      </c>
    </row>
    <row r="217" spans="1:9" ht="15" customHeight="1" x14ac:dyDescent="0.35">
      <c r="A217" s="2" t="s">
        <v>194</v>
      </c>
      <c r="B217" s="2" t="s">
        <v>27</v>
      </c>
      <c r="C217" s="2" t="s">
        <v>21</v>
      </c>
      <c r="D217" s="2" t="s">
        <v>34</v>
      </c>
      <c r="E217" s="2">
        <v>2020</v>
      </c>
      <c r="F217" s="2" t="s">
        <v>35</v>
      </c>
      <c r="G217" s="3">
        <v>1299104</v>
      </c>
      <c r="H217" s="2" t="str">
        <f t="shared" si="6"/>
        <v>2020-Q4</v>
      </c>
      <c r="I217" s="2" t="str">
        <f t="shared" si="7"/>
        <v>No</v>
      </c>
    </row>
    <row r="218" spans="1:9" ht="15" customHeight="1" x14ac:dyDescent="0.35">
      <c r="A218" s="2" t="s">
        <v>194</v>
      </c>
      <c r="B218" s="2" t="s">
        <v>27</v>
      </c>
      <c r="C218" s="2" t="s">
        <v>21</v>
      </c>
      <c r="D218" s="2" t="s">
        <v>34</v>
      </c>
      <c r="E218" s="2">
        <v>2020</v>
      </c>
      <c r="F218" s="2" t="s">
        <v>35</v>
      </c>
      <c r="G218" s="3">
        <v>187737</v>
      </c>
      <c r="H218" s="2" t="str">
        <f t="shared" si="6"/>
        <v>2020-Q4</v>
      </c>
      <c r="I218" s="2" t="str">
        <f t="shared" si="7"/>
        <v>No</v>
      </c>
    </row>
    <row r="219" spans="1:9" ht="15" customHeight="1" x14ac:dyDescent="0.35">
      <c r="A219" s="2" t="s">
        <v>194</v>
      </c>
      <c r="B219" s="2" t="s">
        <v>27</v>
      </c>
      <c r="C219" s="2" t="s">
        <v>16</v>
      </c>
      <c r="D219" s="2" t="s">
        <v>34</v>
      </c>
      <c r="E219" s="2">
        <v>2020</v>
      </c>
      <c r="F219" s="2" t="s">
        <v>35</v>
      </c>
      <c r="G219" s="3">
        <v>1495932</v>
      </c>
      <c r="H219" s="2" t="str">
        <f t="shared" si="6"/>
        <v>2020-Q4</v>
      </c>
      <c r="I219" s="2" t="str">
        <f t="shared" si="7"/>
        <v>No</v>
      </c>
    </row>
    <row r="220" spans="1:9" ht="15" customHeight="1" x14ac:dyDescent="0.35">
      <c r="A220" s="2" t="s">
        <v>195</v>
      </c>
      <c r="B220" s="2" t="s">
        <v>27</v>
      </c>
      <c r="C220" s="2" t="s">
        <v>16</v>
      </c>
      <c r="D220" s="2" t="s">
        <v>34</v>
      </c>
      <c r="E220" s="2">
        <v>2020</v>
      </c>
      <c r="F220" s="2" t="s">
        <v>35</v>
      </c>
      <c r="G220" s="3">
        <v>1262023</v>
      </c>
      <c r="H220" s="2" t="str">
        <f t="shared" si="6"/>
        <v>2020-Q4</v>
      </c>
      <c r="I220" s="2" t="str">
        <f t="shared" si="7"/>
        <v>No</v>
      </c>
    </row>
    <row r="221" spans="1:9" ht="15" customHeight="1" x14ac:dyDescent="0.35">
      <c r="A221" s="2" t="s">
        <v>196</v>
      </c>
      <c r="B221" s="2" t="s">
        <v>27</v>
      </c>
      <c r="C221" s="2" t="s">
        <v>16</v>
      </c>
      <c r="D221" s="2" t="s">
        <v>34</v>
      </c>
      <c r="E221" s="2">
        <v>2020</v>
      </c>
      <c r="F221" s="2" t="s">
        <v>35</v>
      </c>
      <c r="G221" s="3">
        <v>502801</v>
      </c>
      <c r="H221" s="2" t="str">
        <f t="shared" si="6"/>
        <v>2020-Q4</v>
      </c>
      <c r="I221" s="2" t="str">
        <f t="shared" si="7"/>
        <v>No</v>
      </c>
    </row>
    <row r="222" spans="1:9" ht="15" customHeight="1" x14ac:dyDescent="0.35">
      <c r="A222" s="2" t="s">
        <v>196</v>
      </c>
      <c r="B222" s="2" t="s">
        <v>15</v>
      </c>
      <c r="C222" s="2" t="s">
        <v>16</v>
      </c>
      <c r="D222" s="2" t="s">
        <v>34</v>
      </c>
      <c r="E222" s="2">
        <v>2020</v>
      </c>
      <c r="F222" s="2" t="s">
        <v>35</v>
      </c>
      <c r="G222" s="3">
        <v>394071</v>
      </c>
      <c r="H222" s="2" t="str">
        <f t="shared" si="6"/>
        <v>2020-Q4</v>
      </c>
      <c r="I222" s="2" t="str">
        <f t="shared" si="7"/>
        <v>No</v>
      </c>
    </row>
    <row r="223" spans="1:9" ht="15" customHeight="1" x14ac:dyDescent="0.35">
      <c r="A223" s="2" t="s">
        <v>197</v>
      </c>
      <c r="B223" s="2" t="s">
        <v>27</v>
      </c>
      <c r="C223" s="2" t="s">
        <v>16</v>
      </c>
      <c r="D223" s="2" t="s">
        <v>34</v>
      </c>
      <c r="E223" s="2">
        <v>2020</v>
      </c>
      <c r="F223" s="2" t="s">
        <v>35</v>
      </c>
      <c r="G223" s="3">
        <v>804016</v>
      </c>
      <c r="H223" s="2" t="str">
        <f t="shared" si="6"/>
        <v>2020-Q4</v>
      </c>
      <c r="I223" s="2" t="str">
        <f t="shared" si="7"/>
        <v>No</v>
      </c>
    </row>
    <row r="224" spans="1:9" ht="15" customHeight="1" x14ac:dyDescent="0.35">
      <c r="A224" s="2" t="s">
        <v>197</v>
      </c>
      <c r="B224" s="2" t="s">
        <v>27</v>
      </c>
      <c r="C224" s="2" t="s">
        <v>16</v>
      </c>
      <c r="D224" s="2" t="s">
        <v>34</v>
      </c>
      <c r="E224" s="2">
        <v>2020</v>
      </c>
      <c r="F224" s="2" t="s">
        <v>35</v>
      </c>
      <c r="G224" s="3">
        <v>215991</v>
      </c>
      <c r="H224" s="2" t="str">
        <f t="shared" si="6"/>
        <v>2020-Q4</v>
      </c>
      <c r="I224" s="2" t="str">
        <f t="shared" si="7"/>
        <v>No</v>
      </c>
    </row>
    <row r="225" spans="1:9" ht="15" customHeight="1" x14ac:dyDescent="0.35">
      <c r="A225" s="2" t="s">
        <v>198</v>
      </c>
      <c r="B225" s="2" t="s">
        <v>27</v>
      </c>
      <c r="C225" s="2" t="s">
        <v>16</v>
      </c>
      <c r="D225" s="2" t="s">
        <v>34</v>
      </c>
      <c r="E225" s="2">
        <v>2020</v>
      </c>
      <c r="F225" s="2" t="s">
        <v>35</v>
      </c>
      <c r="G225" s="3">
        <v>1570949</v>
      </c>
      <c r="H225" s="2" t="str">
        <f t="shared" si="6"/>
        <v>2020-Q4</v>
      </c>
      <c r="I225" s="2" t="str">
        <f t="shared" si="7"/>
        <v>No</v>
      </c>
    </row>
    <row r="226" spans="1:9" ht="15" customHeight="1" x14ac:dyDescent="0.35">
      <c r="A226" s="2" t="s">
        <v>199</v>
      </c>
      <c r="B226" s="2" t="s">
        <v>27</v>
      </c>
      <c r="C226" s="2" t="s">
        <v>16</v>
      </c>
      <c r="D226" s="2" t="s">
        <v>34</v>
      </c>
      <c r="E226" s="2">
        <v>2020</v>
      </c>
      <c r="F226" s="2" t="s">
        <v>35</v>
      </c>
      <c r="G226" s="3">
        <v>1220013</v>
      </c>
      <c r="H226" s="2" t="str">
        <f t="shared" si="6"/>
        <v>2020-Q4</v>
      </c>
      <c r="I226" s="2" t="str">
        <f t="shared" si="7"/>
        <v>No</v>
      </c>
    </row>
    <row r="227" spans="1:9" ht="15" customHeight="1" x14ac:dyDescent="0.35">
      <c r="A227" s="2" t="s">
        <v>200</v>
      </c>
      <c r="B227" s="2" t="s">
        <v>27</v>
      </c>
      <c r="C227" s="2" t="s">
        <v>16</v>
      </c>
      <c r="D227" s="2" t="s">
        <v>38</v>
      </c>
      <c r="E227" s="2">
        <v>2020</v>
      </c>
      <c r="F227" s="2" t="s">
        <v>35</v>
      </c>
      <c r="G227" s="3">
        <v>1469859</v>
      </c>
      <c r="H227" s="2" t="str">
        <f t="shared" si="6"/>
        <v>2020-Q4</v>
      </c>
      <c r="I227" s="2" t="str">
        <f t="shared" si="7"/>
        <v>No</v>
      </c>
    </row>
    <row r="228" spans="1:9" ht="15" customHeight="1" x14ac:dyDescent="0.35">
      <c r="A228" s="2" t="s">
        <v>201</v>
      </c>
      <c r="B228" s="2" t="s">
        <v>15</v>
      </c>
      <c r="C228" s="2" t="s">
        <v>11</v>
      </c>
      <c r="D228" s="2" t="s">
        <v>38</v>
      </c>
      <c r="E228" s="2">
        <v>2020</v>
      </c>
      <c r="F228" s="2" t="s">
        <v>35</v>
      </c>
      <c r="G228" s="3">
        <v>1353627</v>
      </c>
      <c r="H228" s="2" t="str">
        <f t="shared" si="6"/>
        <v>2020-Q4</v>
      </c>
      <c r="I228" s="2" t="str">
        <f t="shared" si="7"/>
        <v>No</v>
      </c>
    </row>
    <row r="229" spans="1:9" ht="15" customHeight="1" x14ac:dyDescent="0.35">
      <c r="A229" s="2" t="s">
        <v>202</v>
      </c>
      <c r="B229" s="2" t="s">
        <v>27</v>
      </c>
      <c r="C229" s="2" t="s">
        <v>11</v>
      </c>
      <c r="D229" s="2" t="s">
        <v>38</v>
      </c>
      <c r="E229" s="2">
        <v>2020</v>
      </c>
      <c r="F229" s="2" t="s">
        <v>35</v>
      </c>
      <c r="G229" s="3">
        <v>556058</v>
      </c>
      <c r="H229" s="2" t="str">
        <f t="shared" si="6"/>
        <v>2020-Q4</v>
      </c>
      <c r="I229" s="2" t="str">
        <f t="shared" si="7"/>
        <v>No</v>
      </c>
    </row>
    <row r="230" spans="1:9" ht="15" customHeight="1" x14ac:dyDescent="0.35">
      <c r="A230" s="2" t="s">
        <v>203</v>
      </c>
      <c r="B230" s="2" t="s">
        <v>27</v>
      </c>
      <c r="C230" s="2" t="s">
        <v>11</v>
      </c>
      <c r="D230" s="2" t="s">
        <v>38</v>
      </c>
      <c r="E230" s="2">
        <v>2020</v>
      </c>
      <c r="F230" s="2" t="s">
        <v>35</v>
      </c>
      <c r="G230" s="3">
        <v>853969</v>
      </c>
      <c r="H230" s="2" t="str">
        <f t="shared" si="6"/>
        <v>2020-Q4</v>
      </c>
      <c r="I230" s="2" t="str">
        <f t="shared" si="7"/>
        <v>No</v>
      </c>
    </row>
    <row r="231" spans="1:9" ht="15" customHeight="1" x14ac:dyDescent="0.35">
      <c r="A231" s="2" t="s">
        <v>204</v>
      </c>
      <c r="B231" s="2" t="s">
        <v>27</v>
      </c>
      <c r="C231" s="2" t="s">
        <v>11</v>
      </c>
      <c r="D231" s="2" t="s">
        <v>38</v>
      </c>
      <c r="E231" s="2">
        <v>2020</v>
      </c>
      <c r="F231" s="2" t="s">
        <v>35</v>
      </c>
      <c r="G231" s="3">
        <v>963277</v>
      </c>
      <c r="H231" s="2" t="str">
        <f t="shared" si="6"/>
        <v>2020-Q4</v>
      </c>
      <c r="I231" s="2" t="str">
        <f t="shared" si="7"/>
        <v>No</v>
      </c>
    </row>
    <row r="232" spans="1:9" ht="15" customHeight="1" x14ac:dyDescent="0.35">
      <c r="A232" s="2" t="s">
        <v>205</v>
      </c>
      <c r="B232" s="2" t="s">
        <v>27</v>
      </c>
      <c r="C232" s="2" t="s">
        <v>11</v>
      </c>
      <c r="D232" s="2" t="s">
        <v>38</v>
      </c>
      <c r="E232" s="2">
        <v>2020</v>
      </c>
      <c r="F232" s="2" t="s">
        <v>35</v>
      </c>
      <c r="G232" s="3">
        <v>131530</v>
      </c>
      <c r="H232" s="2" t="str">
        <f t="shared" si="6"/>
        <v>2020-Q4</v>
      </c>
      <c r="I232" s="2" t="str">
        <f t="shared" si="7"/>
        <v>No</v>
      </c>
    </row>
    <row r="233" spans="1:9" ht="15" customHeight="1" x14ac:dyDescent="0.35">
      <c r="A233" s="2" t="s">
        <v>205</v>
      </c>
      <c r="B233" s="2" t="s">
        <v>15</v>
      </c>
      <c r="C233" s="2" t="s">
        <v>11</v>
      </c>
      <c r="D233" s="2" t="s">
        <v>38</v>
      </c>
      <c r="E233" s="2">
        <v>2020</v>
      </c>
      <c r="F233" s="2" t="s">
        <v>35</v>
      </c>
      <c r="G233" s="3">
        <v>1617203</v>
      </c>
      <c r="H233" s="2" t="str">
        <f t="shared" si="6"/>
        <v>2020-Q4</v>
      </c>
      <c r="I233" s="2" t="str">
        <f t="shared" si="7"/>
        <v>No</v>
      </c>
    </row>
    <row r="234" spans="1:9" ht="15" customHeight="1" x14ac:dyDescent="0.35">
      <c r="A234" s="2" t="s">
        <v>206</v>
      </c>
      <c r="B234" s="2" t="s">
        <v>27</v>
      </c>
      <c r="C234" s="2" t="s">
        <v>11</v>
      </c>
      <c r="D234" s="2" t="s">
        <v>38</v>
      </c>
      <c r="E234" s="2">
        <v>2020</v>
      </c>
      <c r="F234" s="2" t="s">
        <v>35</v>
      </c>
      <c r="G234" s="3">
        <v>1011247</v>
      </c>
      <c r="H234" s="2" t="str">
        <f t="shared" si="6"/>
        <v>2020-Q4</v>
      </c>
      <c r="I234" s="2" t="str">
        <f t="shared" si="7"/>
        <v>No</v>
      </c>
    </row>
    <row r="235" spans="1:9" ht="15" customHeight="1" x14ac:dyDescent="0.35">
      <c r="A235" s="2" t="s">
        <v>207</v>
      </c>
      <c r="B235" s="2" t="s">
        <v>27</v>
      </c>
      <c r="C235" s="2" t="s">
        <v>11</v>
      </c>
      <c r="D235" s="2" t="s">
        <v>38</v>
      </c>
      <c r="E235" s="2">
        <v>2020</v>
      </c>
      <c r="F235" s="2" t="s">
        <v>35</v>
      </c>
      <c r="G235" s="3">
        <v>1204392</v>
      </c>
      <c r="H235" s="2" t="str">
        <f t="shared" si="6"/>
        <v>2020-Q4</v>
      </c>
      <c r="I235" s="2" t="str">
        <f t="shared" si="7"/>
        <v>No</v>
      </c>
    </row>
    <row r="236" spans="1:9" ht="15" customHeight="1" x14ac:dyDescent="0.35">
      <c r="A236" s="2" t="s">
        <v>208</v>
      </c>
      <c r="B236" s="2" t="s">
        <v>27</v>
      </c>
      <c r="C236" s="2" t="s">
        <v>11</v>
      </c>
      <c r="D236" s="2" t="s">
        <v>38</v>
      </c>
      <c r="E236" s="2">
        <v>2020</v>
      </c>
      <c r="F236" s="2" t="s">
        <v>35</v>
      </c>
      <c r="G236" s="3">
        <v>1274084</v>
      </c>
      <c r="H236" s="2" t="str">
        <f t="shared" si="6"/>
        <v>2020-Q4</v>
      </c>
      <c r="I236" s="2" t="str">
        <f t="shared" si="7"/>
        <v>No</v>
      </c>
    </row>
    <row r="237" spans="1:9" ht="15" customHeight="1" x14ac:dyDescent="0.35">
      <c r="A237" s="2" t="s">
        <v>209</v>
      </c>
      <c r="B237" s="2" t="s">
        <v>27</v>
      </c>
      <c r="C237" s="2" t="s">
        <v>11</v>
      </c>
      <c r="D237" s="2" t="s">
        <v>38</v>
      </c>
      <c r="E237" s="2">
        <v>2020</v>
      </c>
      <c r="F237" s="2" t="s">
        <v>35</v>
      </c>
      <c r="G237" s="3">
        <v>1892281</v>
      </c>
      <c r="H237" s="2" t="str">
        <f t="shared" si="6"/>
        <v>2020-Q4</v>
      </c>
      <c r="I237" s="2" t="str">
        <f t="shared" si="7"/>
        <v>No</v>
      </c>
    </row>
    <row r="238" spans="1:9" ht="15" customHeight="1" x14ac:dyDescent="0.35">
      <c r="A238" s="2" t="s">
        <v>209</v>
      </c>
      <c r="B238" s="2" t="s">
        <v>15</v>
      </c>
      <c r="C238" s="2" t="s">
        <v>11</v>
      </c>
      <c r="D238" s="2" t="s">
        <v>38</v>
      </c>
      <c r="E238" s="2">
        <v>2020</v>
      </c>
      <c r="F238" s="2" t="s">
        <v>35</v>
      </c>
      <c r="G238" s="3">
        <v>835570</v>
      </c>
      <c r="H238" s="2" t="str">
        <f t="shared" si="6"/>
        <v>2020-Q4</v>
      </c>
      <c r="I238" s="2" t="str">
        <f t="shared" si="7"/>
        <v>No</v>
      </c>
    </row>
    <row r="239" spans="1:9" ht="15" customHeight="1" x14ac:dyDescent="0.35">
      <c r="A239" s="2" t="s">
        <v>210</v>
      </c>
      <c r="B239" s="2" t="s">
        <v>27</v>
      </c>
      <c r="C239" s="2" t="s">
        <v>16</v>
      </c>
      <c r="D239" s="2" t="s">
        <v>38</v>
      </c>
      <c r="E239" s="2">
        <v>2020</v>
      </c>
      <c r="F239" s="2" t="s">
        <v>35</v>
      </c>
      <c r="G239" s="3">
        <v>666449</v>
      </c>
      <c r="H239" s="2" t="str">
        <f t="shared" si="6"/>
        <v>2020-Q4</v>
      </c>
      <c r="I239" s="2" t="str">
        <f t="shared" si="7"/>
        <v>No</v>
      </c>
    </row>
    <row r="240" spans="1:9" ht="15" customHeight="1" x14ac:dyDescent="0.35">
      <c r="A240" s="2" t="s">
        <v>210</v>
      </c>
      <c r="B240" s="2" t="s">
        <v>27</v>
      </c>
      <c r="C240" s="2" t="s">
        <v>16</v>
      </c>
      <c r="D240" s="2" t="s">
        <v>38</v>
      </c>
      <c r="E240" s="2">
        <v>2020</v>
      </c>
      <c r="F240" s="2" t="s">
        <v>35</v>
      </c>
      <c r="G240" s="3">
        <v>892634</v>
      </c>
      <c r="H240" s="2" t="str">
        <f t="shared" si="6"/>
        <v>2020-Q4</v>
      </c>
      <c r="I240" s="2" t="str">
        <f t="shared" si="7"/>
        <v>No</v>
      </c>
    </row>
    <row r="241" spans="1:9" ht="15" customHeight="1" x14ac:dyDescent="0.35">
      <c r="A241" s="2" t="s">
        <v>211</v>
      </c>
      <c r="B241" s="2" t="s">
        <v>27</v>
      </c>
      <c r="C241" s="2" t="s">
        <v>16</v>
      </c>
      <c r="D241" s="2" t="s">
        <v>44</v>
      </c>
      <c r="E241" s="2">
        <v>2020</v>
      </c>
      <c r="F241" s="2" t="s">
        <v>35</v>
      </c>
      <c r="G241" s="3">
        <v>695542</v>
      </c>
      <c r="H241" s="2" t="str">
        <f t="shared" si="6"/>
        <v>2020-Q4</v>
      </c>
      <c r="I241" s="2" t="str">
        <f t="shared" si="7"/>
        <v>No</v>
      </c>
    </row>
    <row r="242" spans="1:9" ht="15" customHeight="1" x14ac:dyDescent="0.35">
      <c r="A242" s="2" t="s">
        <v>212</v>
      </c>
      <c r="B242" s="2" t="s">
        <v>27</v>
      </c>
      <c r="C242" s="2" t="s">
        <v>16</v>
      </c>
      <c r="D242" s="2" t="s">
        <v>44</v>
      </c>
      <c r="E242" s="2">
        <v>2020</v>
      </c>
      <c r="F242" s="2" t="s">
        <v>35</v>
      </c>
      <c r="G242" s="3">
        <v>1702209</v>
      </c>
      <c r="H242" s="2" t="str">
        <f t="shared" si="6"/>
        <v>2020-Q4</v>
      </c>
      <c r="I242" s="2" t="str">
        <f t="shared" si="7"/>
        <v>No</v>
      </c>
    </row>
    <row r="243" spans="1:9" ht="15" customHeight="1" x14ac:dyDescent="0.35">
      <c r="A243" s="2" t="s">
        <v>212</v>
      </c>
      <c r="B243" s="2" t="s">
        <v>15</v>
      </c>
      <c r="C243" s="2" t="s">
        <v>16</v>
      </c>
      <c r="D243" s="2" t="s">
        <v>44</v>
      </c>
      <c r="E243" s="2">
        <v>2020</v>
      </c>
      <c r="F243" s="2" t="s">
        <v>35</v>
      </c>
      <c r="G243" s="3">
        <v>1791580</v>
      </c>
      <c r="H243" s="2" t="str">
        <f t="shared" si="6"/>
        <v>2020-Q4</v>
      </c>
      <c r="I243" s="2" t="str">
        <f t="shared" si="7"/>
        <v>No</v>
      </c>
    </row>
    <row r="244" spans="1:9" ht="15" customHeight="1" x14ac:dyDescent="0.35">
      <c r="A244" s="2" t="s">
        <v>213</v>
      </c>
      <c r="B244" s="2" t="s">
        <v>27</v>
      </c>
      <c r="C244" s="2" t="s">
        <v>16</v>
      </c>
      <c r="D244" s="2" t="s">
        <v>44</v>
      </c>
      <c r="E244" s="2">
        <v>2020</v>
      </c>
      <c r="F244" s="2" t="s">
        <v>35</v>
      </c>
      <c r="G244" s="3">
        <v>347363</v>
      </c>
      <c r="H244" s="2" t="str">
        <f t="shared" si="6"/>
        <v>2020-Q4</v>
      </c>
      <c r="I244" s="2" t="str">
        <f t="shared" si="7"/>
        <v>No</v>
      </c>
    </row>
    <row r="245" spans="1:9" ht="15" customHeight="1" x14ac:dyDescent="0.35">
      <c r="A245" s="2" t="s">
        <v>214</v>
      </c>
      <c r="B245" s="2" t="s">
        <v>27</v>
      </c>
      <c r="C245" s="2" t="s">
        <v>16</v>
      </c>
      <c r="D245" s="2" t="s">
        <v>44</v>
      </c>
      <c r="E245" s="2">
        <v>2020</v>
      </c>
      <c r="F245" s="2" t="s">
        <v>35</v>
      </c>
      <c r="G245" s="3">
        <v>827703</v>
      </c>
      <c r="H245" s="2" t="str">
        <f t="shared" si="6"/>
        <v>2020-Q4</v>
      </c>
      <c r="I245" s="2" t="str">
        <f t="shared" si="7"/>
        <v>No</v>
      </c>
    </row>
    <row r="246" spans="1:9" ht="15" customHeight="1" x14ac:dyDescent="0.35">
      <c r="A246" s="2" t="s">
        <v>215</v>
      </c>
      <c r="B246" s="2" t="s">
        <v>27</v>
      </c>
      <c r="C246" s="2" t="s">
        <v>16</v>
      </c>
      <c r="D246" s="2" t="s">
        <v>44</v>
      </c>
      <c r="E246" s="2">
        <v>2020</v>
      </c>
      <c r="F246" s="2" t="s">
        <v>35</v>
      </c>
      <c r="G246" s="3">
        <v>523321</v>
      </c>
      <c r="H246" s="2" t="str">
        <f t="shared" si="6"/>
        <v>2020-Q4</v>
      </c>
      <c r="I246" s="2" t="str">
        <f t="shared" si="7"/>
        <v>No</v>
      </c>
    </row>
    <row r="247" spans="1:9" ht="15" customHeight="1" x14ac:dyDescent="0.35">
      <c r="A247" s="2" t="s">
        <v>216</v>
      </c>
      <c r="B247" s="2" t="s">
        <v>27</v>
      </c>
      <c r="C247" s="2" t="s">
        <v>11</v>
      </c>
      <c r="D247" s="2" t="s">
        <v>44</v>
      </c>
      <c r="E247" s="2">
        <v>2020</v>
      </c>
      <c r="F247" s="2" t="s">
        <v>35</v>
      </c>
      <c r="G247" s="3">
        <v>382282</v>
      </c>
      <c r="H247" s="2" t="str">
        <f t="shared" si="6"/>
        <v>2020-Q4</v>
      </c>
      <c r="I247" s="2" t="str">
        <f t="shared" si="7"/>
        <v>No</v>
      </c>
    </row>
    <row r="248" spans="1:9" ht="15" customHeight="1" x14ac:dyDescent="0.35">
      <c r="A248" s="2" t="s">
        <v>217</v>
      </c>
      <c r="B248" s="2" t="s">
        <v>15</v>
      </c>
      <c r="C248" s="2" t="s">
        <v>11</v>
      </c>
      <c r="D248" s="2" t="s">
        <v>44</v>
      </c>
      <c r="E248" s="2">
        <v>2020</v>
      </c>
      <c r="F248" s="2" t="s">
        <v>35</v>
      </c>
      <c r="G248" s="3">
        <v>1194439</v>
      </c>
      <c r="H248" s="2" t="str">
        <f t="shared" si="6"/>
        <v>2020-Q4</v>
      </c>
      <c r="I248" s="2" t="str">
        <f t="shared" si="7"/>
        <v>No</v>
      </c>
    </row>
    <row r="249" spans="1:9" ht="15" customHeight="1" x14ac:dyDescent="0.35">
      <c r="A249" s="2" t="s">
        <v>217</v>
      </c>
      <c r="B249" s="2" t="s">
        <v>27</v>
      </c>
      <c r="C249" s="2" t="s">
        <v>16</v>
      </c>
      <c r="D249" s="2" t="s">
        <v>44</v>
      </c>
      <c r="E249" s="2">
        <v>2020</v>
      </c>
      <c r="F249" s="2" t="s">
        <v>35</v>
      </c>
      <c r="G249" s="3">
        <v>1491139</v>
      </c>
      <c r="H249" s="2" t="str">
        <f t="shared" si="6"/>
        <v>2020-Q4</v>
      </c>
      <c r="I249" s="2" t="str">
        <f t="shared" si="7"/>
        <v>No</v>
      </c>
    </row>
    <row r="250" spans="1:9" ht="15" customHeight="1" x14ac:dyDescent="0.35">
      <c r="A250" s="2" t="s">
        <v>218</v>
      </c>
      <c r="B250" s="2" t="s">
        <v>27</v>
      </c>
      <c r="C250" s="2" t="s">
        <v>16</v>
      </c>
      <c r="D250" s="2" t="s">
        <v>44</v>
      </c>
      <c r="E250" s="2">
        <v>2020</v>
      </c>
      <c r="F250" s="2" t="s">
        <v>35</v>
      </c>
      <c r="G250" s="3">
        <v>474648</v>
      </c>
      <c r="H250" s="2" t="str">
        <f t="shared" si="6"/>
        <v>2020-Q4</v>
      </c>
      <c r="I250" s="2" t="str">
        <f t="shared" si="7"/>
        <v>No</v>
      </c>
    </row>
    <row r="251" spans="1:9" ht="15" customHeight="1" x14ac:dyDescent="0.35">
      <c r="A251" s="2" t="s">
        <v>219</v>
      </c>
      <c r="B251" s="2" t="s">
        <v>27</v>
      </c>
      <c r="C251" s="2" t="s">
        <v>16</v>
      </c>
      <c r="D251" s="2" t="s">
        <v>44</v>
      </c>
      <c r="E251" s="2">
        <v>2020</v>
      </c>
      <c r="F251" s="2" t="s">
        <v>35</v>
      </c>
      <c r="G251" s="3">
        <v>1892480</v>
      </c>
      <c r="H251" s="2" t="str">
        <f t="shared" si="6"/>
        <v>2020-Q4</v>
      </c>
      <c r="I251" s="2" t="str">
        <f t="shared" si="7"/>
        <v>No</v>
      </c>
    </row>
    <row r="252" spans="1:9" ht="15" customHeight="1" x14ac:dyDescent="0.35">
      <c r="A252" s="2" t="s">
        <v>219</v>
      </c>
      <c r="B252" s="2" t="s">
        <v>15</v>
      </c>
      <c r="C252" s="2" t="s">
        <v>16</v>
      </c>
      <c r="D252" s="2" t="s">
        <v>44</v>
      </c>
      <c r="E252" s="2">
        <v>2020</v>
      </c>
      <c r="F252" s="2" t="s">
        <v>35</v>
      </c>
      <c r="G252" s="3">
        <v>1145606</v>
      </c>
      <c r="H252" s="2" t="str">
        <f t="shared" si="6"/>
        <v>2020-Q4</v>
      </c>
      <c r="I252" s="2" t="str">
        <f t="shared" si="7"/>
        <v>No</v>
      </c>
    </row>
    <row r="253" spans="1:9" ht="15" customHeight="1" x14ac:dyDescent="0.35">
      <c r="A253" s="2" t="s">
        <v>220</v>
      </c>
      <c r="B253" s="2" t="s">
        <v>27</v>
      </c>
      <c r="C253" s="2" t="s">
        <v>21</v>
      </c>
      <c r="D253" s="2" t="s">
        <v>44</v>
      </c>
      <c r="E253" s="2">
        <v>2020</v>
      </c>
      <c r="F253" s="2" t="s">
        <v>35</v>
      </c>
      <c r="G253" s="3">
        <v>1464846</v>
      </c>
      <c r="H253" s="2" t="str">
        <f t="shared" si="6"/>
        <v>2020-Q4</v>
      </c>
      <c r="I253" s="2" t="str">
        <f t="shared" si="7"/>
        <v>No</v>
      </c>
    </row>
    <row r="254" spans="1:9" ht="15" customHeight="1" x14ac:dyDescent="0.35">
      <c r="A254" s="2" t="s">
        <v>221</v>
      </c>
      <c r="B254" s="2" t="s">
        <v>27</v>
      </c>
      <c r="C254" s="2" t="s">
        <v>16</v>
      </c>
      <c r="D254" s="2" t="s">
        <v>44</v>
      </c>
      <c r="E254" s="2">
        <v>2020</v>
      </c>
      <c r="F254" s="2" t="s">
        <v>35</v>
      </c>
      <c r="G254" s="3">
        <v>1948107</v>
      </c>
      <c r="H254" s="2" t="str">
        <f t="shared" si="6"/>
        <v>2020-Q4</v>
      </c>
      <c r="I254" s="2" t="str">
        <f t="shared" si="7"/>
        <v>No</v>
      </c>
    </row>
    <row r="255" spans="1:9" ht="15" customHeight="1" x14ac:dyDescent="0.35">
      <c r="A255" s="2" t="s">
        <v>222</v>
      </c>
      <c r="B255" s="2" t="s">
        <v>15</v>
      </c>
      <c r="C255" s="2" t="s">
        <v>11</v>
      </c>
      <c r="D255" s="2" t="s">
        <v>44</v>
      </c>
      <c r="E255" s="2">
        <v>2020</v>
      </c>
      <c r="F255" s="2" t="s">
        <v>35</v>
      </c>
      <c r="G255" s="3">
        <v>1428796</v>
      </c>
      <c r="H255" s="2" t="str">
        <f t="shared" si="6"/>
        <v>2020-Q4</v>
      </c>
      <c r="I255" s="2" t="str">
        <f t="shared" si="7"/>
        <v>No</v>
      </c>
    </row>
    <row r="256" spans="1:9" ht="15" customHeight="1" x14ac:dyDescent="0.35">
      <c r="A256" s="2" t="s">
        <v>223</v>
      </c>
      <c r="B256" s="2" t="s">
        <v>15</v>
      </c>
      <c r="C256" s="2" t="s">
        <v>11</v>
      </c>
      <c r="D256" s="2" t="s">
        <v>44</v>
      </c>
      <c r="E256" s="2">
        <v>2020</v>
      </c>
      <c r="F256" s="2" t="s">
        <v>35</v>
      </c>
      <c r="G256" s="3">
        <v>940449</v>
      </c>
      <c r="H256" s="2" t="str">
        <f t="shared" si="6"/>
        <v>2020-Q4</v>
      </c>
      <c r="I256" s="2" t="str">
        <f t="shared" si="7"/>
        <v>No</v>
      </c>
    </row>
    <row r="257" spans="1:9" ht="15" customHeight="1" x14ac:dyDescent="0.35">
      <c r="A257" s="2" t="s">
        <v>224</v>
      </c>
      <c r="B257" s="2" t="s">
        <v>15</v>
      </c>
      <c r="C257" s="2" t="s">
        <v>11</v>
      </c>
      <c r="D257" s="2" t="s">
        <v>44</v>
      </c>
      <c r="E257" s="2">
        <v>2020</v>
      </c>
      <c r="F257" s="2" t="s">
        <v>35</v>
      </c>
      <c r="G257" s="3">
        <v>1318642</v>
      </c>
      <c r="H257" s="2" t="str">
        <f t="shared" si="6"/>
        <v>2020-Q4</v>
      </c>
      <c r="I257" s="2" t="str">
        <f t="shared" si="7"/>
        <v>No</v>
      </c>
    </row>
    <row r="258" spans="1:9" ht="15" customHeight="1" x14ac:dyDescent="0.35">
      <c r="A258" s="2" t="s">
        <v>224</v>
      </c>
      <c r="B258" s="2" t="s">
        <v>15</v>
      </c>
      <c r="C258" s="2" t="s">
        <v>11</v>
      </c>
      <c r="D258" s="2" t="s">
        <v>44</v>
      </c>
      <c r="E258" s="2">
        <v>2020</v>
      </c>
      <c r="F258" s="2" t="s">
        <v>35</v>
      </c>
      <c r="G258" s="3">
        <v>477764</v>
      </c>
      <c r="H258" s="2" t="str">
        <f t="shared" ref="H258:H321" si="8">E258&amp;"-"&amp;F258</f>
        <v>2020-Q4</v>
      </c>
      <c r="I258" s="2" t="str">
        <f t="shared" ref="I258:I321" si="9">IF(E258=2019,"Yes","No")</f>
        <v>No</v>
      </c>
    </row>
    <row r="259" spans="1:9" ht="15" customHeight="1" x14ac:dyDescent="0.35">
      <c r="A259" s="2" t="s">
        <v>225</v>
      </c>
      <c r="B259" s="2" t="s">
        <v>10</v>
      </c>
      <c r="C259" s="2" t="s">
        <v>11</v>
      </c>
      <c r="D259" s="2" t="s">
        <v>48</v>
      </c>
      <c r="E259" s="2">
        <v>2021</v>
      </c>
      <c r="F259" s="2" t="s">
        <v>49</v>
      </c>
      <c r="G259" s="3">
        <v>1704016</v>
      </c>
      <c r="H259" s="2" t="str">
        <f t="shared" si="8"/>
        <v>2021-Q1</v>
      </c>
      <c r="I259" s="2" t="str">
        <f t="shared" si="9"/>
        <v>No</v>
      </c>
    </row>
    <row r="260" spans="1:9" ht="15" customHeight="1" x14ac:dyDescent="0.35">
      <c r="A260" s="2" t="s">
        <v>226</v>
      </c>
      <c r="B260" s="2" t="s">
        <v>10</v>
      </c>
      <c r="C260" s="2" t="s">
        <v>11</v>
      </c>
      <c r="D260" s="2" t="s">
        <v>48</v>
      </c>
      <c r="E260" s="2">
        <v>2021</v>
      </c>
      <c r="F260" s="2" t="s">
        <v>49</v>
      </c>
      <c r="G260" s="3">
        <v>544052</v>
      </c>
      <c r="H260" s="2" t="str">
        <f t="shared" si="8"/>
        <v>2021-Q1</v>
      </c>
      <c r="I260" s="2" t="str">
        <f t="shared" si="9"/>
        <v>No</v>
      </c>
    </row>
    <row r="261" spans="1:9" ht="15" customHeight="1" x14ac:dyDescent="0.35">
      <c r="A261" s="2" t="s">
        <v>226</v>
      </c>
      <c r="B261" s="2" t="s">
        <v>10</v>
      </c>
      <c r="C261" s="2" t="s">
        <v>11</v>
      </c>
      <c r="D261" s="2" t="s">
        <v>48</v>
      </c>
      <c r="E261" s="2">
        <v>2021</v>
      </c>
      <c r="F261" s="2" t="s">
        <v>49</v>
      </c>
      <c r="G261" s="3">
        <v>1353314</v>
      </c>
      <c r="H261" s="2" t="str">
        <f t="shared" si="8"/>
        <v>2021-Q1</v>
      </c>
      <c r="I261" s="2" t="str">
        <f t="shared" si="9"/>
        <v>No</v>
      </c>
    </row>
    <row r="262" spans="1:9" ht="15" customHeight="1" x14ac:dyDescent="0.35">
      <c r="A262" s="2" t="s">
        <v>227</v>
      </c>
      <c r="B262" s="2" t="s">
        <v>10</v>
      </c>
      <c r="C262" s="2" t="s">
        <v>11</v>
      </c>
      <c r="D262" s="2" t="s">
        <v>48</v>
      </c>
      <c r="E262" s="2">
        <v>2021</v>
      </c>
      <c r="F262" s="2" t="s">
        <v>49</v>
      </c>
      <c r="G262" s="3">
        <v>700516</v>
      </c>
      <c r="H262" s="2" t="str">
        <f t="shared" si="8"/>
        <v>2021-Q1</v>
      </c>
      <c r="I262" s="2" t="str">
        <f t="shared" si="9"/>
        <v>No</v>
      </c>
    </row>
    <row r="263" spans="1:9" ht="15" customHeight="1" x14ac:dyDescent="0.35">
      <c r="A263" s="2" t="s">
        <v>228</v>
      </c>
      <c r="B263" s="2" t="s">
        <v>10</v>
      </c>
      <c r="C263" s="2" t="s">
        <v>11</v>
      </c>
      <c r="D263" s="2" t="s">
        <v>48</v>
      </c>
      <c r="E263" s="2">
        <v>2021</v>
      </c>
      <c r="F263" s="2" t="s">
        <v>49</v>
      </c>
      <c r="G263" s="3">
        <v>375582</v>
      </c>
      <c r="H263" s="2" t="str">
        <f t="shared" si="8"/>
        <v>2021-Q1</v>
      </c>
      <c r="I263" s="2" t="str">
        <f t="shared" si="9"/>
        <v>No</v>
      </c>
    </row>
    <row r="264" spans="1:9" ht="15" customHeight="1" x14ac:dyDescent="0.35">
      <c r="A264" s="2" t="s">
        <v>229</v>
      </c>
      <c r="B264" s="2" t="s">
        <v>10</v>
      </c>
      <c r="C264" s="2" t="s">
        <v>21</v>
      </c>
      <c r="D264" s="2" t="s">
        <v>48</v>
      </c>
      <c r="E264" s="2">
        <v>2021</v>
      </c>
      <c r="F264" s="2" t="s">
        <v>49</v>
      </c>
      <c r="G264" s="3">
        <v>1288724</v>
      </c>
      <c r="H264" s="2" t="str">
        <f t="shared" si="8"/>
        <v>2021-Q1</v>
      </c>
      <c r="I264" s="2" t="str">
        <f t="shared" si="9"/>
        <v>No</v>
      </c>
    </row>
    <row r="265" spans="1:9" ht="15" customHeight="1" x14ac:dyDescent="0.35">
      <c r="A265" s="2" t="s">
        <v>230</v>
      </c>
      <c r="B265" s="2" t="s">
        <v>10</v>
      </c>
      <c r="C265" s="2" t="s">
        <v>11</v>
      </c>
      <c r="D265" s="2" t="s">
        <v>48</v>
      </c>
      <c r="E265" s="2">
        <v>2021</v>
      </c>
      <c r="F265" s="2" t="s">
        <v>49</v>
      </c>
      <c r="G265" s="3">
        <v>1109243</v>
      </c>
      <c r="H265" s="2" t="str">
        <f t="shared" si="8"/>
        <v>2021-Q1</v>
      </c>
      <c r="I265" s="2" t="str">
        <f t="shared" si="9"/>
        <v>No</v>
      </c>
    </row>
    <row r="266" spans="1:9" ht="15" customHeight="1" x14ac:dyDescent="0.35">
      <c r="A266" s="2" t="s">
        <v>231</v>
      </c>
      <c r="B266" s="2" t="s">
        <v>10</v>
      </c>
      <c r="C266" s="2" t="s">
        <v>21</v>
      </c>
      <c r="D266" s="2" t="s">
        <v>48</v>
      </c>
      <c r="E266" s="2">
        <v>2021</v>
      </c>
      <c r="F266" s="2" t="s">
        <v>49</v>
      </c>
      <c r="G266" s="3">
        <v>1346386</v>
      </c>
      <c r="H266" s="2" t="str">
        <f t="shared" si="8"/>
        <v>2021-Q1</v>
      </c>
      <c r="I266" s="2" t="str">
        <f t="shared" si="9"/>
        <v>No</v>
      </c>
    </row>
    <row r="267" spans="1:9" ht="15" customHeight="1" x14ac:dyDescent="0.35">
      <c r="A267" s="2" t="s">
        <v>231</v>
      </c>
      <c r="B267" s="2" t="s">
        <v>10</v>
      </c>
      <c r="C267" s="2" t="s">
        <v>21</v>
      </c>
      <c r="D267" s="2" t="s">
        <v>48</v>
      </c>
      <c r="E267" s="2">
        <v>2021</v>
      </c>
      <c r="F267" s="2" t="s">
        <v>49</v>
      </c>
      <c r="G267" s="3">
        <v>244146</v>
      </c>
      <c r="H267" s="2" t="str">
        <f t="shared" si="8"/>
        <v>2021-Q1</v>
      </c>
      <c r="I267" s="2" t="str">
        <f t="shared" si="9"/>
        <v>No</v>
      </c>
    </row>
    <row r="268" spans="1:9" ht="15" customHeight="1" x14ac:dyDescent="0.35">
      <c r="A268" s="2" t="s">
        <v>232</v>
      </c>
      <c r="B268" s="2" t="s">
        <v>10</v>
      </c>
      <c r="C268" s="2" t="s">
        <v>21</v>
      </c>
      <c r="D268" s="2" t="s">
        <v>48</v>
      </c>
      <c r="E268" s="2">
        <v>2021</v>
      </c>
      <c r="F268" s="2" t="s">
        <v>49</v>
      </c>
      <c r="G268" s="3">
        <v>971479</v>
      </c>
      <c r="H268" s="2" t="str">
        <f t="shared" si="8"/>
        <v>2021-Q1</v>
      </c>
      <c r="I268" s="2" t="str">
        <f t="shared" si="9"/>
        <v>No</v>
      </c>
    </row>
    <row r="269" spans="1:9" ht="15" customHeight="1" x14ac:dyDescent="0.35">
      <c r="A269" s="2" t="s">
        <v>232</v>
      </c>
      <c r="B269" s="2" t="s">
        <v>10</v>
      </c>
      <c r="C269" s="2" t="s">
        <v>21</v>
      </c>
      <c r="D269" s="2" t="s">
        <v>48</v>
      </c>
      <c r="E269" s="2">
        <v>2021</v>
      </c>
      <c r="F269" s="2" t="s">
        <v>49</v>
      </c>
      <c r="G269" s="3">
        <v>917273</v>
      </c>
      <c r="H269" s="2" t="str">
        <f t="shared" si="8"/>
        <v>2021-Q1</v>
      </c>
      <c r="I269" s="2" t="str">
        <f t="shared" si="9"/>
        <v>No</v>
      </c>
    </row>
    <row r="270" spans="1:9" ht="15" customHeight="1" x14ac:dyDescent="0.35">
      <c r="A270" s="2" t="s">
        <v>232</v>
      </c>
      <c r="B270" s="2" t="s">
        <v>10</v>
      </c>
      <c r="C270" s="2" t="s">
        <v>21</v>
      </c>
      <c r="D270" s="2" t="s">
        <v>48</v>
      </c>
      <c r="E270" s="2">
        <v>2021</v>
      </c>
      <c r="F270" s="2" t="s">
        <v>49</v>
      </c>
      <c r="G270" s="3">
        <v>679070</v>
      </c>
      <c r="H270" s="2" t="str">
        <f t="shared" si="8"/>
        <v>2021-Q1</v>
      </c>
      <c r="I270" s="2" t="str">
        <f t="shared" si="9"/>
        <v>No</v>
      </c>
    </row>
    <row r="271" spans="1:9" ht="15" customHeight="1" x14ac:dyDescent="0.35">
      <c r="A271" s="2" t="s">
        <v>233</v>
      </c>
      <c r="B271" s="2" t="s">
        <v>10</v>
      </c>
      <c r="C271" s="2" t="s">
        <v>21</v>
      </c>
      <c r="D271" s="2" t="s">
        <v>48</v>
      </c>
      <c r="E271" s="2">
        <v>2021</v>
      </c>
      <c r="F271" s="2" t="s">
        <v>49</v>
      </c>
      <c r="G271" s="3">
        <v>221856</v>
      </c>
      <c r="H271" s="2" t="str">
        <f t="shared" si="8"/>
        <v>2021-Q1</v>
      </c>
      <c r="I271" s="2" t="str">
        <f t="shared" si="9"/>
        <v>No</v>
      </c>
    </row>
    <row r="272" spans="1:9" ht="15" customHeight="1" x14ac:dyDescent="0.35">
      <c r="A272" s="2" t="s">
        <v>234</v>
      </c>
      <c r="B272" s="2" t="s">
        <v>10</v>
      </c>
      <c r="C272" s="2" t="s">
        <v>21</v>
      </c>
      <c r="D272" s="2" t="s">
        <v>48</v>
      </c>
      <c r="E272" s="2">
        <v>2021</v>
      </c>
      <c r="F272" s="2" t="s">
        <v>49</v>
      </c>
      <c r="G272" s="3">
        <v>1297881</v>
      </c>
      <c r="H272" s="2" t="str">
        <f t="shared" si="8"/>
        <v>2021-Q1</v>
      </c>
      <c r="I272" s="2" t="str">
        <f t="shared" si="9"/>
        <v>No</v>
      </c>
    </row>
    <row r="273" spans="1:9" ht="15" customHeight="1" x14ac:dyDescent="0.35">
      <c r="A273" s="2" t="s">
        <v>235</v>
      </c>
      <c r="B273" s="2" t="s">
        <v>10</v>
      </c>
      <c r="C273" s="2" t="s">
        <v>21</v>
      </c>
      <c r="D273" s="2" t="s">
        <v>48</v>
      </c>
      <c r="E273" s="2">
        <v>2021</v>
      </c>
      <c r="F273" s="2" t="s">
        <v>49</v>
      </c>
      <c r="G273" s="3">
        <v>1306013</v>
      </c>
      <c r="H273" s="2" t="str">
        <f t="shared" si="8"/>
        <v>2021-Q1</v>
      </c>
      <c r="I273" s="2" t="str">
        <f t="shared" si="9"/>
        <v>No</v>
      </c>
    </row>
    <row r="274" spans="1:9" ht="15" customHeight="1" x14ac:dyDescent="0.35">
      <c r="A274" s="2" t="s">
        <v>236</v>
      </c>
      <c r="B274" s="2" t="s">
        <v>10</v>
      </c>
      <c r="C274" s="2" t="s">
        <v>21</v>
      </c>
      <c r="D274" s="2" t="s">
        <v>48</v>
      </c>
      <c r="E274" s="2">
        <v>2021</v>
      </c>
      <c r="F274" s="2" t="s">
        <v>49</v>
      </c>
      <c r="G274" s="3">
        <v>1721224</v>
      </c>
      <c r="H274" s="2" t="str">
        <f t="shared" si="8"/>
        <v>2021-Q1</v>
      </c>
      <c r="I274" s="2" t="str">
        <f t="shared" si="9"/>
        <v>No</v>
      </c>
    </row>
    <row r="275" spans="1:9" ht="15" customHeight="1" x14ac:dyDescent="0.35">
      <c r="A275" s="2" t="s">
        <v>237</v>
      </c>
      <c r="B275" s="2" t="s">
        <v>10</v>
      </c>
      <c r="C275" s="2" t="s">
        <v>21</v>
      </c>
      <c r="D275" s="2" t="s">
        <v>48</v>
      </c>
      <c r="E275" s="2">
        <v>2021</v>
      </c>
      <c r="F275" s="2" t="s">
        <v>49</v>
      </c>
      <c r="G275" s="3">
        <v>1179789</v>
      </c>
      <c r="H275" s="2" t="str">
        <f t="shared" si="8"/>
        <v>2021-Q1</v>
      </c>
      <c r="I275" s="2" t="str">
        <f t="shared" si="9"/>
        <v>No</v>
      </c>
    </row>
    <row r="276" spans="1:9" ht="15" customHeight="1" x14ac:dyDescent="0.35">
      <c r="A276" s="2" t="s">
        <v>238</v>
      </c>
      <c r="B276" s="2" t="s">
        <v>10</v>
      </c>
      <c r="C276" s="2" t="s">
        <v>21</v>
      </c>
      <c r="D276" s="2" t="s">
        <v>48</v>
      </c>
      <c r="E276" s="2">
        <v>2021</v>
      </c>
      <c r="F276" s="2" t="s">
        <v>49</v>
      </c>
      <c r="G276" s="3">
        <v>301911</v>
      </c>
      <c r="H276" s="2" t="str">
        <f t="shared" si="8"/>
        <v>2021-Q1</v>
      </c>
      <c r="I276" s="2" t="str">
        <f t="shared" si="9"/>
        <v>No</v>
      </c>
    </row>
    <row r="277" spans="1:9" ht="15" customHeight="1" x14ac:dyDescent="0.35">
      <c r="A277" s="2" t="s">
        <v>239</v>
      </c>
      <c r="B277" s="2" t="s">
        <v>10</v>
      </c>
      <c r="C277" s="2" t="s">
        <v>21</v>
      </c>
      <c r="D277" s="2" t="s">
        <v>48</v>
      </c>
      <c r="E277" s="2">
        <v>2021</v>
      </c>
      <c r="F277" s="2" t="s">
        <v>49</v>
      </c>
      <c r="G277" s="3">
        <v>1309375</v>
      </c>
      <c r="H277" s="2" t="str">
        <f t="shared" si="8"/>
        <v>2021-Q1</v>
      </c>
      <c r="I277" s="2" t="str">
        <f t="shared" si="9"/>
        <v>No</v>
      </c>
    </row>
    <row r="278" spans="1:9" ht="15" customHeight="1" x14ac:dyDescent="0.35">
      <c r="A278" s="2" t="s">
        <v>239</v>
      </c>
      <c r="B278" s="2" t="s">
        <v>10</v>
      </c>
      <c r="C278" s="2" t="s">
        <v>21</v>
      </c>
      <c r="D278" s="2" t="s">
        <v>48</v>
      </c>
      <c r="E278" s="2">
        <v>2021</v>
      </c>
      <c r="F278" s="2" t="s">
        <v>49</v>
      </c>
      <c r="G278" s="3">
        <v>1156815</v>
      </c>
      <c r="H278" s="2" t="str">
        <f t="shared" si="8"/>
        <v>2021-Q1</v>
      </c>
      <c r="I278" s="2" t="str">
        <f t="shared" si="9"/>
        <v>No</v>
      </c>
    </row>
    <row r="279" spans="1:9" ht="15" customHeight="1" x14ac:dyDescent="0.35">
      <c r="A279" s="2" t="s">
        <v>240</v>
      </c>
      <c r="B279" s="2" t="s">
        <v>10</v>
      </c>
      <c r="C279" s="2" t="s">
        <v>21</v>
      </c>
      <c r="D279" s="2" t="s">
        <v>48</v>
      </c>
      <c r="E279" s="2">
        <v>2021</v>
      </c>
      <c r="F279" s="2" t="s">
        <v>49</v>
      </c>
      <c r="G279" s="3">
        <v>152871</v>
      </c>
      <c r="H279" s="2" t="str">
        <f t="shared" si="8"/>
        <v>2021-Q1</v>
      </c>
      <c r="I279" s="2" t="str">
        <f t="shared" si="9"/>
        <v>No</v>
      </c>
    </row>
    <row r="280" spans="1:9" ht="15" customHeight="1" x14ac:dyDescent="0.35">
      <c r="A280" s="2" t="s">
        <v>240</v>
      </c>
      <c r="B280" s="2" t="s">
        <v>10</v>
      </c>
      <c r="C280" s="2" t="s">
        <v>21</v>
      </c>
      <c r="D280" s="2" t="s">
        <v>48</v>
      </c>
      <c r="E280" s="2">
        <v>2021</v>
      </c>
      <c r="F280" s="2" t="s">
        <v>49</v>
      </c>
      <c r="G280" s="3">
        <v>1273013</v>
      </c>
      <c r="H280" s="2" t="str">
        <f t="shared" si="8"/>
        <v>2021-Q1</v>
      </c>
      <c r="I280" s="2" t="str">
        <f t="shared" si="9"/>
        <v>No</v>
      </c>
    </row>
    <row r="281" spans="1:9" ht="15" customHeight="1" x14ac:dyDescent="0.35">
      <c r="A281" s="2" t="s">
        <v>241</v>
      </c>
      <c r="B281" s="2" t="s">
        <v>10</v>
      </c>
      <c r="C281" s="2" t="s">
        <v>21</v>
      </c>
      <c r="D281" s="2" t="s">
        <v>48</v>
      </c>
      <c r="E281" s="2">
        <v>2021</v>
      </c>
      <c r="F281" s="2" t="s">
        <v>49</v>
      </c>
      <c r="G281" s="3">
        <v>1741256</v>
      </c>
      <c r="H281" s="2" t="str">
        <f t="shared" si="8"/>
        <v>2021-Q1</v>
      </c>
      <c r="I281" s="2" t="str">
        <f t="shared" si="9"/>
        <v>No</v>
      </c>
    </row>
    <row r="282" spans="1:9" ht="15" customHeight="1" x14ac:dyDescent="0.35">
      <c r="A282" s="2" t="s">
        <v>242</v>
      </c>
      <c r="B282" s="2" t="s">
        <v>10</v>
      </c>
      <c r="C282" s="2" t="s">
        <v>21</v>
      </c>
      <c r="D282" s="2" t="s">
        <v>48</v>
      </c>
      <c r="E282" s="2">
        <v>2021</v>
      </c>
      <c r="F282" s="2" t="s">
        <v>49</v>
      </c>
      <c r="G282" s="3">
        <v>965094</v>
      </c>
      <c r="H282" s="2" t="str">
        <f t="shared" si="8"/>
        <v>2021-Q1</v>
      </c>
      <c r="I282" s="2" t="str">
        <f t="shared" si="9"/>
        <v>No</v>
      </c>
    </row>
    <row r="283" spans="1:9" ht="15" customHeight="1" x14ac:dyDescent="0.35">
      <c r="A283" s="2" t="s">
        <v>243</v>
      </c>
      <c r="B283" s="2" t="s">
        <v>10</v>
      </c>
      <c r="C283" s="2" t="s">
        <v>21</v>
      </c>
      <c r="D283" s="2" t="s">
        <v>66</v>
      </c>
      <c r="E283" s="2">
        <v>2021</v>
      </c>
      <c r="F283" s="2" t="s">
        <v>49</v>
      </c>
      <c r="G283" s="3">
        <v>1368470</v>
      </c>
      <c r="H283" s="2" t="str">
        <f t="shared" si="8"/>
        <v>2021-Q1</v>
      </c>
      <c r="I283" s="2" t="str">
        <f t="shared" si="9"/>
        <v>No</v>
      </c>
    </row>
    <row r="284" spans="1:9" ht="15" customHeight="1" x14ac:dyDescent="0.35">
      <c r="A284" s="2" t="s">
        <v>244</v>
      </c>
      <c r="B284" s="2" t="s">
        <v>10</v>
      </c>
      <c r="C284" s="2" t="s">
        <v>21</v>
      </c>
      <c r="D284" s="2" t="s">
        <v>66</v>
      </c>
      <c r="E284" s="2">
        <v>2021</v>
      </c>
      <c r="F284" s="2" t="s">
        <v>49</v>
      </c>
      <c r="G284" s="3">
        <v>613889</v>
      </c>
      <c r="H284" s="2" t="str">
        <f t="shared" si="8"/>
        <v>2021-Q1</v>
      </c>
      <c r="I284" s="2" t="str">
        <f t="shared" si="9"/>
        <v>No</v>
      </c>
    </row>
    <row r="285" spans="1:9" ht="15" customHeight="1" x14ac:dyDescent="0.35">
      <c r="A285" s="2" t="s">
        <v>244</v>
      </c>
      <c r="B285" s="2" t="s">
        <v>10</v>
      </c>
      <c r="C285" s="2" t="s">
        <v>21</v>
      </c>
      <c r="D285" s="2" t="s">
        <v>66</v>
      </c>
      <c r="E285" s="2">
        <v>2021</v>
      </c>
      <c r="F285" s="2" t="s">
        <v>49</v>
      </c>
      <c r="G285" s="3">
        <v>221918</v>
      </c>
      <c r="H285" s="2" t="str">
        <f t="shared" si="8"/>
        <v>2021-Q1</v>
      </c>
      <c r="I285" s="2" t="str">
        <f t="shared" si="9"/>
        <v>No</v>
      </c>
    </row>
    <row r="286" spans="1:9" ht="15" customHeight="1" x14ac:dyDescent="0.35">
      <c r="A286" s="2" t="s">
        <v>245</v>
      </c>
      <c r="B286" s="2" t="s">
        <v>27</v>
      </c>
      <c r="C286" s="2" t="s">
        <v>11</v>
      </c>
      <c r="D286" s="2" t="s">
        <v>66</v>
      </c>
      <c r="E286" s="2">
        <v>2021</v>
      </c>
      <c r="F286" s="2" t="s">
        <v>49</v>
      </c>
      <c r="G286" s="3">
        <v>1279544</v>
      </c>
      <c r="H286" s="2" t="str">
        <f t="shared" si="8"/>
        <v>2021-Q1</v>
      </c>
      <c r="I286" s="2" t="str">
        <f t="shared" si="9"/>
        <v>No</v>
      </c>
    </row>
    <row r="287" spans="1:9" ht="15" customHeight="1" x14ac:dyDescent="0.35">
      <c r="A287" s="2" t="s">
        <v>245</v>
      </c>
      <c r="B287" s="2" t="s">
        <v>27</v>
      </c>
      <c r="C287" s="2" t="s">
        <v>11</v>
      </c>
      <c r="D287" s="2" t="s">
        <v>66</v>
      </c>
      <c r="E287" s="2">
        <v>2021</v>
      </c>
      <c r="F287" s="2" t="s">
        <v>49</v>
      </c>
      <c r="G287" s="3">
        <v>922087</v>
      </c>
      <c r="H287" s="2" t="str">
        <f t="shared" si="8"/>
        <v>2021-Q1</v>
      </c>
      <c r="I287" s="2" t="str">
        <f t="shared" si="9"/>
        <v>No</v>
      </c>
    </row>
    <row r="288" spans="1:9" ht="15" customHeight="1" x14ac:dyDescent="0.35">
      <c r="A288" s="2" t="s">
        <v>245</v>
      </c>
      <c r="B288" s="2" t="s">
        <v>27</v>
      </c>
      <c r="C288" s="2" t="s">
        <v>11</v>
      </c>
      <c r="D288" s="2" t="s">
        <v>66</v>
      </c>
      <c r="E288" s="2">
        <v>2021</v>
      </c>
      <c r="F288" s="2" t="s">
        <v>49</v>
      </c>
      <c r="G288" s="3">
        <v>1747049</v>
      </c>
      <c r="H288" s="2" t="str">
        <f t="shared" si="8"/>
        <v>2021-Q1</v>
      </c>
      <c r="I288" s="2" t="str">
        <f t="shared" si="9"/>
        <v>No</v>
      </c>
    </row>
    <row r="289" spans="1:9" ht="15" customHeight="1" x14ac:dyDescent="0.35">
      <c r="A289" s="2" t="s">
        <v>246</v>
      </c>
      <c r="B289" s="2" t="s">
        <v>27</v>
      </c>
      <c r="C289" s="2" t="s">
        <v>11</v>
      </c>
      <c r="D289" s="2" t="s">
        <v>66</v>
      </c>
      <c r="E289" s="2">
        <v>2021</v>
      </c>
      <c r="F289" s="2" t="s">
        <v>49</v>
      </c>
      <c r="G289" s="3">
        <v>1626404</v>
      </c>
      <c r="H289" s="2" t="str">
        <f t="shared" si="8"/>
        <v>2021-Q1</v>
      </c>
      <c r="I289" s="2" t="str">
        <f t="shared" si="9"/>
        <v>No</v>
      </c>
    </row>
    <row r="290" spans="1:9" ht="15" customHeight="1" x14ac:dyDescent="0.35">
      <c r="A290" s="2" t="s">
        <v>247</v>
      </c>
      <c r="B290" s="2" t="s">
        <v>27</v>
      </c>
      <c r="C290" s="2" t="s">
        <v>11</v>
      </c>
      <c r="D290" s="2" t="s">
        <v>66</v>
      </c>
      <c r="E290" s="2">
        <v>2021</v>
      </c>
      <c r="F290" s="2" t="s">
        <v>49</v>
      </c>
      <c r="G290" s="3">
        <v>716115</v>
      </c>
      <c r="H290" s="2" t="str">
        <f t="shared" si="8"/>
        <v>2021-Q1</v>
      </c>
      <c r="I290" s="2" t="str">
        <f t="shared" si="9"/>
        <v>No</v>
      </c>
    </row>
    <row r="291" spans="1:9" ht="15" customHeight="1" x14ac:dyDescent="0.35">
      <c r="A291" s="2" t="s">
        <v>247</v>
      </c>
      <c r="B291" s="2" t="s">
        <v>27</v>
      </c>
      <c r="C291" s="2" t="s">
        <v>11</v>
      </c>
      <c r="D291" s="2" t="s">
        <v>66</v>
      </c>
      <c r="E291" s="2">
        <v>2021</v>
      </c>
      <c r="F291" s="2" t="s">
        <v>49</v>
      </c>
      <c r="G291" s="3">
        <v>1788068</v>
      </c>
      <c r="H291" s="2" t="str">
        <f t="shared" si="8"/>
        <v>2021-Q1</v>
      </c>
      <c r="I291" s="2" t="str">
        <f t="shared" si="9"/>
        <v>No</v>
      </c>
    </row>
    <row r="292" spans="1:9" ht="15" customHeight="1" x14ac:dyDescent="0.35">
      <c r="A292" s="2" t="s">
        <v>248</v>
      </c>
      <c r="B292" s="2" t="s">
        <v>27</v>
      </c>
      <c r="C292" s="2" t="s">
        <v>21</v>
      </c>
      <c r="D292" s="2" t="s">
        <v>66</v>
      </c>
      <c r="E292" s="2">
        <v>2021</v>
      </c>
      <c r="F292" s="2" t="s">
        <v>49</v>
      </c>
      <c r="G292" s="3">
        <v>965181</v>
      </c>
      <c r="H292" s="2" t="str">
        <f t="shared" si="8"/>
        <v>2021-Q1</v>
      </c>
      <c r="I292" s="2" t="str">
        <f t="shared" si="9"/>
        <v>No</v>
      </c>
    </row>
    <row r="293" spans="1:9" ht="15" customHeight="1" x14ac:dyDescent="0.35">
      <c r="A293" s="2" t="s">
        <v>249</v>
      </c>
      <c r="B293" s="2" t="s">
        <v>27</v>
      </c>
      <c r="C293" s="2" t="s">
        <v>16</v>
      </c>
      <c r="D293" s="2" t="s">
        <v>66</v>
      </c>
      <c r="E293" s="2">
        <v>2021</v>
      </c>
      <c r="F293" s="2" t="s">
        <v>49</v>
      </c>
      <c r="G293" s="3">
        <v>1919674</v>
      </c>
      <c r="H293" s="2" t="str">
        <f t="shared" si="8"/>
        <v>2021-Q1</v>
      </c>
      <c r="I293" s="2" t="str">
        <f t="shared" si="9"/>
        <v>No</v>
      </c>
    </row>
    <row r="294" spans="1:9" ht="15" customHeight="1" x14ac:dyDescent="0.35">
      <c r="A294" s="2" t="s">
        <v>250</v>
      </c>
      <c r="B294" s="2" t="s">
        <v>27</v>
      </c>
      <c r="C294" s="2" t="s">
        <v>11</v>
      </c>
      <c r="D294" s="2" t="s">
        <v>66</v>
      </c>
      <c r="E294" s="2">
        <v>2021</v>
      </c>
      <c r="F294" s="2" t="s">
        <v>49</v>
      </c>
      <c r="G294" s="3">
        <v>710460</v>
      </c>
      <c r="H294" s="2" t="str">
        <f t="shared" si="8"/>
        <v>2021-Q1</v>
      </c>
      <c r="I294" s="2" t="str">
        <f t="shared" si="9"/>
        <v>No</v>
      </c>
    </row>
    <row r="295" spans="1:9" ht="15" customHeight="1" x14ac:dyDescent="0.35">
      <c r="A295" s="2" t="s">
        <v>251</v>
      </c>
      <c r="B295" s="2" t="s">
        <v>27</v>
      </c>
      <c r="C295" s="2" t="s">
        <v>11</v>
      </c>
      <c r="D295" s="2" t="s">
        <v>66</v>
      </c>
      <c r="E295" s="2">
        <v>2021</v>
      </c>
      <c r="F295" s="2" t="s">
        <v>49</v>
      </c>
      <c r="G295" s="3">
        <v>1159050</v>
      </c>
      <c r="H295" s="2" t="str">
        <f t="shared" si="8"/>
        <v>2021-Q1</v>
      </c>
      <c r="I295" s="2" t="str">
        <f t="shared" si="9"/>
        <v>No</v>
      </c>
    </row>
    <row r="296" spans="1:9" ht="15" customHeight="1" x14ac:dyDescent="0.35">
      <c r="A296" s="2" t="s">
        <v>251</v>
      </c>
      <c r="B296" s="2" t="s">
        <v>27</v>
      </c>
      <c r="C296" s="2" t="s">
        <v>16</v>
      </c>
      <c r="D296" s="2" t="s">
        <v>66</v>
      </c>
      <c r="E296" s="2">
        <v>2021</v>
      </c>
      <c r="F296" s="2" t="s">
        <v>49</v>
      </c>
      <c r="G296" s="3">
        <v>1553537</v>
      </c>
      <c r="H296" s="2" t="str">
        <f t="shared" si="8"/>
        <v>2021-Q1</v>
      </c>
      <c r="I296" s="2" t="str">
        <f t="shared" si="9"/>
        <v>No</v>
      </c>
    </row>
    <row r="297" spans="1:9" ht="15" customHeight="1" x14ac:dyDescent="0.35">
      <c r="A297" s="2" t="s">
        <v>252</v>
      </c>
      <c r="B297" s="2" t="s">
        <v>27</v>
      </c>
      <c r="C297" s="2" t="s">
        <v>16</v>
      </c>
      <c r="D297" s="2" t="s">
        <v>80</v>
      </c>
      <c r="E297" s="2">
        <v>2021</v>
      </c>
      <c r="F297" s="2" t="s">
        <v>49</v>
      </c>
      <c r="G297" s="3">
        <v>867425</v>
      </c>
      <c r="H297" s="2" t="str">
        <f t="shared" si="8"/>
        <v>2021-Q1</v>
      </c>
      <c r="I297" s="2" t="str">
        <f t="shared" si="9"/>
        <v>No</v>
      </c>
    </row>
    <row r="298" spans="1:9" ht="15" customHeight="1" x14ac:dyDescent="0.35">
      <c r="A298" s="2" t="s">
        <v>252</v>
      </c>
      <c r="B298" s="2" t="s">
        <v>27</v>
      </c>
      <c r="C298" s="2" t="s">
        <v>16</v>
      </c>
      <c r="D298" s="2" t="s">
        <v>80</v>
      </c>
      <c r="E298" s="2">
        <v>2021</v>
      </c>
      <c r="F298" s="2" t="s">
        <v>49</v>
      </c>
      <c r="G298" s="3">
        <v>867440</v>
      </c>
      <c r="H298" s="2" t="str">
        <f t="shared" si="8"/>
        <v>2021-Q1</v>
      </c>
      <c r="I298" s="2" t="str">
        <f t="shared" si="9"/>
        <v>No</v>
      </c>
    </row>
    <row r="299" spans="1:9" ht="15" customHeight="1" x14ac:dyDescent="0.35">
      <c r="A299" s="2" t="s">
        <v>253</v>
      </c>
      <c r="B299" s="2" t="s">
        <v>27</v>
      </c>
      <c r="C299" s="2" t="s">
        <v>16</v>
      </c>
      <c r="D299" s="2" t="s">
        <v>80</v>
      </c>
      <c r="E299" s="2">
        <v>2021</v>
      </c>
      <c r="F299" s="2" t="s">
        <v>49</v>
      </c>
      <c r="G299" s="3">
        <v>449075</v>
      </c>
      <c r="H299" s="2" t="str">
        <f t="shared" si="8"/>
        <v>2021-Q1</v>
      </c>
      <c r="I299" s="2" t="str">
        <f t="shared" si="9"/>
        <v>No</v>
      </c>
    </row>
    <row r="300" spans="1:9" ht="15" customHeight="1" x14ac:dyDescent="0.35">
      <c r="A300" s="2" t="s">
        <v>254</v>
      </c>
      <c r="B300" s="2" t="s">
        <v>27</v>
      </c>
      <c r="C300" s="2" t="s">
        <v>16</v>
      </c>
      <c r="D300" s="2" t="s">
        <v>80</v>
      </c>
      <c r="E300" s="2">
        <v>2021</v>
      </c>
      <c r="F300" s="2" t="s">
        <v>49</v>
      </c>
      <c r="G300" s="3">
        <v>1832972</v>
      </c>
      <c r="H300" s="2" t="str">
        <f t="shared" si="8"/>
        <v>2021-Q1</v>
      </c>
      <c r="I300" s="2" t="str">
        <f t="shared" si="9"/>
        <v>No</v>
      </c>
    </row>
    <row r="301" spans="1:9" ht="15" customHeight="1" x14ac:dyDescent="0.35">
      <c r="A301" s="2" t="s">
        <v>255</v>
      </c>
      <c r="B301" s="2" t="s">
        <v>27</v>
      </c>
      <c r="C301" s="2" t="s">
        <v>16</v>
      </c>
      <c r="D301" s="2" t="s">
        <v>80</v>
      </c>
      <c r="E301" s="2">
        <v>2021</v>
      </c>
      <c r="F301" s="2" t="s">
        <v>49</v>
      </c>
      <c r="G301" s="3">
        <v>1813286</v>
      </c>
      <c r="H301" s="2" t="str">
        <f t="shared" si="8"/>
        <v>2021-Q1</v>
      </c>
      <c r="I301" s="2" t="str">
        <f t="shared" si="9"/>
        <v>No</v>
      </c>
    </row>
    <row r="302" spans="1:9" ht="15" customHeight="1" x14ac:dyDescent="0.35">
      <c r="A302" s="2" t="s">
        <v>256</v>
      </c>
      <c r="B302" s="2" t="s">
        <v>27</v>
      </c>
      <c r="C302" s="2" t="s">
        <v>16</v>
      </c>
      <c r="D302" s="2" t="s">
        <v>80</v>
      </c>
      <c r="E302" s="2">
        <v>2021</v>
      </c>
      <c r="F302" s="2" t="s">
        <v>49</v>
      </c>
      <c r="G302" s="3">
        <v>1490096</v>
      </c>
      <c r="H302" s="2" t="str">
        <f t="shared" si="8"/>
        <v>2021-Q1</v>
      </c>
      <c r="I302" s="2" t="str">
        <f t="shared" si="9"/>
        <v>No</v>
      </c>
    </row>
    <row r="303" spans="1:9" ht="15" customHeight="1" x14ac:dyDescent="0.35">
      <c r="A303" s="2" t="s">
        <v>257</v>
      </c>
      <c r="B303" s="2" t="s">
        <v>27</v>
      </c>
      <c r="C303" s="2" t="s">
        <v>16</v>
      </c>
      <c r="D303" s="2" t="s">
        <v>80</v>
      </c>
      <c r="E303" s="2">
        <v>2021</v>
      </c>
      <c r="F303" s="2" t="s">
        <v>49</v>
      </c>
      <c r="G303" s="3">
        <v>317729</v>
      </c>
      <c r="H303" s="2" t="str">
        <f t="shared" si="8"/>
        <v>2021-Q1</v>
      </c>
      <c r="I303" s="2" t="str">
        <f t="shared" si="9"/>
        <v>No</v>
      </c>
    </row>
    <row r="304" spans="1:9" ht="15" customHeight="1" x14ac:dyDescent="0.35">
      <c r="A304" s="2" t="s">
        <v>258</v>
      </c>
      <c r="B304" s="2" t="s">
        <v>27</v>
      </c>
      <c r="C304" s="2" t="s">
        <v>16</v>
      </c>
      <c r="D304" s="2" t="s">
        <v>80</v>
      </c>
      <c r="E304" s="2">
        <v>2021</v>
      </c>
      <c r="F304" s="2" t="s">
        <v>49</v>
      </c>
      <c r="G304" s="3">
        <v>550392</v>
      </c>
      <c r="H304" s="2" t="str">
        <f t="shared" si="8"/>
        <v>2021-Q1</v>
      </c>
      <c r="I304" s="2" t="str">
        <f t="shared" si="9"/>
        <v>No</v>
      </c>
    </row>
    <row r="305" spans="1:9" ht="15" customHeight="1" x14ac:dyDescent="0.35">
      <c r="A305" s="2" t="s">
        <v>258</v>
      </c>
      <c r="B305" s="2" t="s">
        <v>27</v>
      </c>
      <c r="C305" s="2" t="s">
        <v>16</v>
      </c>
      <c r="D305" s="2" t="s">
        <v>80</v>
      </c>
      <c r="E305" s="2">
        <v>2021</v>
      </c>
      <c r="F305" s="2" t="s">
        <v>49</v>
      </c>
      <c r="G305" s="3">
        <v>391155</v>
      </c>
      <c r="H305" s="2" t="str">
        <f t="shared" si="8"/>
        <v>2021-Q1</v>
      </c>
      <c r="I305" s="2" t="str">
        <f t="shared" si="9"/>
        <v>No</v>
      </c>
    </row>
    <row r="306" spans="1:9" ht="15" customHeight="1" x14ac:dyDescent="0.35">
      <c r="A306" s="2" t="s">
        <v>259</v>
      </c>
      <c r="B306" s="2" t="s">
        <v>27</v>
      </c>
      <c r="C306" s="2" t="s">
        <v>16</v>
      </c>
      <c r="D306" s="2" t="s">
        <v>80</v>
      </c>
      <c r="E306" s="2">
        <v>2021</v>
      </c>
      <c r="F306" s="2" t="s">
        <v>49</v>
      </c>
      <c r="G306" s="3">
        <v>1019828</v>
      </c>
      <c r="H306" s="2" t="str">
        <f t="shared" si="8"/>
        <v>2021-Q1</v>
      </c>
      <c r="I306" s="2" t="str">
        <f t="shared" si="9"/>
        <v>No</v>
      </c>
    </row>
    <row r="307" spans="1:9" ht="15" customHeight="1" x14ac:dyDescent="0.35">
      <c r="A307" s="2" t="s">
        <v>260</v>
      </c>
      <c r="B307" s="2" t="s">
        <v>27</v>
      </c>
      <c r="C307" s="2" t="s">
        <v>11</v>
      </c>
      <c r="D307" s="2" t="s">
        <v>80</v>
      </c>
      <c r="E307" s="2">
        <v>2021</v>
      </c>
      <c r="F307" s="2" t="s">
        <v>49</v>
      </c>
      <c r="G307" s="3">
        <v>653125</v>
      </c>
      <c r="H307" s="2" t="str">
        <f t="shared" si="8"/>
        <v>2021-Q1</v>
      </c>
      <c r="I307" s="2" t="str">
        <f t="shared" si="9"/>
        <v>No</v>
      </c>
    </row>
    <row r="308" spans="1:9" ht="15" customHeight="1" x14ac:dyDescent="0.35">
      <c r="A308" s="2" t="s">
        <v>261</v>
      </c>
      <c r="B308" s="2" t="s">
        <v>27</v>
      </c>
      <c r="C308" s="2" t="s">
        <v>11</v>
      </c>
      <c r="D308" s="2" t="s">
        <v>80</v>
      </c>
      <c r="E308" s="2">
        <v>2021</v>
      </c>
      <c r="F308" s="2" t="s">
        <v>49</v>
      </c>
      <c r="G308" s="3">
        <v>653310</v>
      </c>
      <c r="H308" s="2" t="str">
        <f t="shared" si="8"/>
        <v>2021-Q1</v>
      </c>
      <c r="I308" s="2" t="str">
        <f t="shared" si="9"/>
        <v>No</v>
      </c>
    </row>
    <row r="309" spans="1:9" ht="15" customHeight="1" x14ac:dyDescent="0.35">
      <c r="A309" s="2" t="s">
        <v>262</v>
      </c>
      <c r="B309" s="2" t="s">
        <v>27</v>
      </c>
      <c r="C309" s="2" t="s">
        <v>11</v>
      </c>
      <c r="D309" s="2" t="s">
        <v>80</v>
      </c>
      <c r="E309" s="2">
        <v>2021</v>
      </c>
      <c r="F309" s="2" t="s">
        <v>49</v>
      </c>
      <c r="G309" s="3">
        <v>704506</v>
      </c>
      <c r="H309" s="2" t="str">
        <f t="shared" si="8"/>
        <v>2021-Q1</v>
      </c>
      <c r="I309" s="2" t="str">
        <f t="shared" si="9"/>
        <v>No</v>
      </c>
    </row>
    <row r="310" spans="1:9" ht="15" customHeight="1" x14ac:dyDescent="0.35">
      <c r="A310" s="2" t="s">
        <v>263</v>
      </c>
      <c r="B310" s="2" t="s">
        <v>27</v>
      </c>
      <c r="C310" s="2" t="s">
        <v>11</v>
      </c>
      <c r="D310" s="2" t="s">
        <v>80</v>
      </c>
      <c r="E310" s="2">
        <v>2021</v>
      </c>
      <c r="F310" s="2" t="s">
        <v>49</v>
      </c>
      <c r="G310" s="3">
        <v>310953</v>
      </c>
      <c r="H310" s="2" t="str">
        <f t="shared" si="8"/>
        <v>2021-Q1</v>
      </c>
      <c r="I310" s="2" t="str">
        <f t="shared" si="9"/>
        <v>No</v>
      </c>
    </row>
    <row r="311" spans="1:9" ht="15" customHeight="1" x14ac:dyDescent="0.35">
      <c r="A311" s="2" t="s">
        <v>264</v>
      </c>
      <c r="B311" s="2" t="s">
        <v>27</v>
      </c>
      <c r="C311" s="2" t="s">
        <v>11</v>
      </c>
      <c r="D311" s="2" t="s">
        <v>80</v>
      </c>
      <c r="E311" s="2">
        <v>2021</v>
      </c>
      <c r="F311" s="2" t="s">
        <v>49</v>
      </c>
      <c r="G311" s="3">
        <v>237671</v>
      </c>
      <c r="H311" s="2" t="str">
        <f t="shared" si="8"/>
        <v>2021-Q1</v>
      </c>
      <c r="I311" s="2" t="str">
        <f t="shared" si="9"/>
        <v>No</v>
      </c>
    </row>
    <row r="312" spans="1:9" ht="15" customHeight="1" x14ac:dyDescent="0.35">
      <c r="A312" s="2" t="s">
        <v>265</v>
      </c>
      <c r="B312" s="2" t="s">
        <v>20</v>
      </c>
      <c r="C312" s="2" t="s">
        <v>21</v>
      </c>
      <c r="D312" s="2" t="s">
        <v>80</v>
      </c>
      <c r="E312" s="2">
        <v>2021</v>
      </c>
      <c r="F312" s="2" t="s">
        <v>49</v>
      </c>
      <c r="G312" s="3">
        <v>552682</v>
      </c>
      <c r="H312" s="2" t="str">
        <f t="shared" si="8"/>
        <v>2021-Q1</v>
      </c>
      <c r="I312" s="2" t="str">
        <f t="shared" si="9"/>
        <v>No</v>
      </c>
    </row>
    <row r="313" spans="1:9" ht="15" customHeight="1" x14ac:dyDescent="0.35">
      <c r="A313" s="2" t="s">
        <v>265</v>
      </c>
      <c r="B313" s="2" t="s">
        <v>20</v>
      </c>
      <c r="C313" s="2" t="s">
        <v>11</v>
      </c>
      <c r="D313" s="2" t="s">
        <v>80</v>
      </c>
      <c r="E313" s="2">
        <v>2021</v>
      </c>
      <c r="F313" s="2" t="s">
        <v>49</v>
      </c>
      <c r="G313" s="3">
        <v>923332</v>
      </c>
      <c r="H313" s="2" t="str">
        <f t="shared" si="8"/>
        <v>2021-Q1</v>
      </c>
      <c r="I313" s="2" t="str">
        <f t="shared" si="9"/>
        <v>No</v>
      </c>
    </row>
    <row r="314" spans="1:9" ht="15" customHeight="1" x14ac:dyDescent="0.35">
      <c r="A314" s="2" t="s">
        <v>266</v>
      </c>
      <c r="B314" s="2" t="s">
        <v>20</v>
      </c>
      <c r="C314" s="2" t="s">
        <v>11</v>
      </c>
      <c r="D314" s="2" t="s">
        <v>80</v>
      </c>
      <c r="E314" s="2">
        <v>2021</v>
      </c>
      <c r="F314" s="2" t="s">
        <v>49</v>
      </c>
      <c r="G314" s="3">
        <v>845410</v>
      </c>
      <c r="H314" s="2" t="str">
        <f t="shared" si="8"/>
        <v>2021-Q1</v>
      </c>
      <c r="I314" s="2" t="str">
        <f t="shared" si="9"/>
        <v>No</v>
      </c>
    </row>
    <row r="315" spans="1:9" ht="15" customHeight="1" x14ac:dyDescent="0.35">
      <c r="A315" s="2" t="s">
        <v>267</v>
      </c>
      <c r="B315" s="2" t="s">
        <v>20</v>
      </c>
      <c r="C315" s="2" t="s">
        <v>11</v>
      </c>
      <c r="D315" s="2" t="s">
        <v>94</v>
      </c>
      <c r="E315" s="2">
        <v>2021</v>
      </c>
      <c r="F315" s="2" t="s">
        <v>49</v>
      </c>
      <c r="G315" s="3">
        <v>473634</v>
      </c>
      <c r="H315" s="2" t="str">
        <f t="shared" si="8"/>
        <v>2021-Q1</v>
      </c>
      <c r="I315" s="2" t="str">
        <f t="shared" si="9"/>
        <v>No</v>
      </c>
    </row>
    <row r="316" spans="1:9" ht="15" customHeight="1" x14ac:dyDescent="0.35">
      <c r="A316" s="2" t="s">
        <v>268</v>
      </c>
      <c r="B316" s="2" t="s">
        <v>20</v>
      </c>
      <c r="C316" s="2" t="s">
        <v>11</v>
      </c>
      <c r="D316" s="2" t="s">
        <v>94</v>
      </c>
      <c r="E316" s="2">
        <v>2021</v>
      </c>
      <c r="F316" s="2" t="s">
        <v>49</v>
      </c>
      <c r="G316" s="3">
        <v>742897</v>
      </c>
      <c r="H316" s="2" t="str">
        <f t="shared" si="8"/>
        <v>2021-Q1</v>
      </c>
      <c r="I316" s="2" t="str">
        <f t="shared" si="9"/>
        <v>No</v>
      </c>
    </row>
    <row r="317" spans="1:9" ht="15" customHeight="1" x14ac:dyDescent="0.35">
      <c r="A317" s="2" t="s">
        <v>268</v>
      </c>
      <c r="B317" s="2" t="s">
        <v>20</v>
      </c>
      <c r="C317" s="2" t="s">
        <v>11</v>
      </c>
      <c r="D317" s="2" t="s">
        <v>94</v>
      </c>
      <c r="E317" s="2">
        <v>2021</v>
      </c>
      <c r="F317" s="2" t="s">
        <v>49</v>
      </c>
      <c r="G317" s="3">
        <v>1931479</v>
      </c>
      <c r="H317" s="2" t="str">
        <f t="shared" si="8"/>
        <v>2021-Q1</v>
      </c>
      <c r="I317" s="2" t="str">
        <f t="shared" si="9"/>
        <v>No</v>
      </c>
    </row>
    <row r="318" spans="1:9" ht="15" customHeight="1" x14ac:dyDescent="0.35">
      <c r="A318" s="2" t="s">
        <v>269</v>
      </c>
      <c r="B318" s="2" t="s">
        <v>20</v>
      </c>
      <c r="C318" s="2" t="s">
        <v>11</v>
      </c>
      <c r="D318" s="2" t="s">
        <v>94</v>
      </c>
      <c r="E318" s="2">
        <v>2021</v>
      </c>
      <c r="F318" s="2" t="s">
        <v>49</v>
      </c>
      <c r="G318" s="3">
        <v>342611</v>
      </c>
      <c r="H318" s="2" t="str">
        <f t="shared" si="8"/>
        <v>2021-Q1</v>
      </c>
      <c r="I318" s="2" t="str">
        <f t="shared" si="9"/>
        <v>No</v>
      </c>
    </row>
    <row r="319" spans="1:9" ht="15" customHeight="1" x14ac:dyDescent="0.35">
      <c r="A319" s="2" t="s">
        <v>270</v>
      </c>
      <c r="B319" s="2" t="s">
        <v>20</v>
      </c>
      <c r="C319" s="2" t="s">
        <v>11</v>
      </c>
      <c r="D319" s="2" t="s">
        <v>94</v>
      </c>
      <c r="E319" s="2">
        <v>2021</v>
      </c>
      <c r="F319" s="2" t="s">
        <v>49</v>
      </c>
      <c r="G319" s="3">
        <v>1208575</v>
      </c>
      <c r="H319" s="2" t="str">
        <f t="shared" si="8"/>
        <v>2021-Q1</v>
      </c>
      <c r="I319" s="2" t="str">
        <f t="shared" si="9"/>
        <v>No</v>
      </c>
    </row>
    <row r="320" spans="1:9" ht="15" customHeight="1" x14ac:dyDescent="0.35">
      <c r="A320" s="2" t="s">
        <v>271</v>
      </c>
      <c r="B320" s="2" t="s">
        <v>20</v>
      </c>
      <c r="C320" s="2" t="s">
        <v>11</v>
      </c>
      <c r="D320" s="2" t="s">
        <v>94</v>
      </c>
      <c r="E320" s="2">
        <v>2021</v>
      </c>
      <c r="F320" s="2" t="s">
        <v>49</v>
      </c>
      <c r="G320" s="3">
        <v>1057025</v>
      </c>
      <c r="H320" s="2" t="str">
        <f t="shared" si="8"/>
        <v>2021-Q1</v>
      </c>
      <c r="I320" s="2" t="str">
        <f t="shared" si="9"/>
        <v>No</v>
      </c>
    </row>
    <row r="321" spans="1:9" ht="15" customHeight="1" x14ac:dyDescent="0.35">
      <c r="A321" s="2" t="s">
        <v>272</v>
      </c>
      <c r="B321" s="2" t="s">
        <v>20</v>
      </c>
      <c r="C321" s="2" t="s">
        <v>11</v>
      </c>
      <c r="D321" s="2" t="s">
        <v>94</v>
      </c>
      <c r="E321" s="2">
        <v>2021</v>
      </c>
      <c r="F321" s="2" t="s">
        <v>49</v>
      </c>
      <c r="G321" s="3">
        <v>1721828</v>
      </c>
      <c r="H321" s="2" t="str">
        <f t="shared" si="8"/>
        <v>2021-Q1</v>
      </c>
      <c r="I321" s="2" t="str">
        <f t="shared" si="9"/>
        <v>No</v>
      </c>
    </row>
    <row r="322" spans="1:9" ht="15" customHeight="1" x14ac:dyDescent="0.35">
      <c r="A322" s="2" t="s">
        <v>273</v>
      </c>
      <c r="B322" s="2" t="s">
        <v>20</v>
      </c>
      <c r="C322" s="2" t="s">
        <v>11</v>
      </c>
      <c r="D322" s="2" t="s">
        <v>94</v>
      </c>
      <c r="E322" s="2">
        <v>2021</v>
      </c>
      <c r="F322" s="2" t="s">
        <v>49</v>
      </c>
      <c r="G322" s="3">
        <v>635510</v>
      </c>
      <c r="H322" s="2" t="str">
        <f t="shared" ref="H322:H385" si="10">E322&amp;"-"&amp;F322</f>
        <v>2021-Q1</v>
      </c>
      <c r="I322" s="2" t="str">
        <f t="shared" ref="I322:I385" si="11">IF(E322=2019,"Yes","No")</f>
        <v>No</v>
      </c>
    </row>
    <row r="323" spans="1:9" ht="15" customHeight="1" x14ac:dyDescent="0.35">
      <c r="A323" s="2" t="s">
        <v>274</v>
      </c>
      <c r="B323" s="2" t="s">
        <v>20</v>
      </c>
      <c r="C323" s="2" t="s">
        <v>16</v>
      </c>
      <c r="D323" s="2" t="s">
        <v>94</v>
      </c>
      <c r="E323" s="2">
        <v>2021</v>
      </c>
      <c r="F323" s="2" t="s">
        <v>49</v>
      </c>
      <c r="G323" s="3">
        <v>741781</v>
      </c>
      <c r="H323" s="2" t="str">
        <f t="shared" si="10"/>
        <v>2021-Q1</v>
      </c>
      <c r="I323" s="2" t="str">
        <f t="shared" si="11"/>
        <v>No</v>
      </c>
    </row>
    <row r="324" spans="1:9" ht="15" customHeight="1" x14ac:dyDescent="0.35">
      <c r="A324" s="2" t="s">
        <v>275</v>
      </c>
      <c r="B324" s="2" t="s">
        <v>20</v>
      </c>
      <c r="C324" s="2" t="s">
        <v>16</v>
      </c>
      <c r="D324" s="2" t="s">
        <v>94</v>
      </c>
      <c r="E324" s="2">
        <v>2021</v>
      </c>
      <c r="F324" s="2" t="s">
        <v>49</v>
      </c>
      <c r="G324" s="3">
        <v>775601</v>
      </c>
      <c r="H324" s="2" t="str">
        <f t="shared" si="10"/>
        <v>2021-Q1</v>
      </c>
      <c r="I324" s="2" t="str">
        <f t="shared" si="11"/>
        <v>No</v>
      </c>
    </row>
    <row r="325" spans="1:9" ht="15" customHeight="1" x14ac:dyDescent="0.35">
      <c r="A325" s="2" t="s">
        <v>275</v>
      </c>
      <c r="B325" s="2" t="s">
        <v>20</v>
      </c>
      <c r="C325" s="2" t="s">
        <v>16</v>
      </c>
      <c r="D325" s="2" t="s">
        <v>94</v>
      </c>
      <c r="E325" s="2">
        <v>2021</v>
      </c>
      <c r="F325" s="2" t="s">
        <v>49</v>
      </c>
      <c r="G325" s="3">
        <v>750053</v>
      </c>
      <c r="H325" s="2" t="str">
        <f t="shared" si="10"/>
        <v>2021-Q1</v>
      </c>
      <c r="I325" s="2" t="str">
        <f t="shared" si="11"/>
        <v>No</v>
      </c>
    </row>
    <row r="326" spans="1:9" ht="15" customHeight="1" x14ac:dyDescent="0.35">
      <c r="A326" s="2" t="s">
        <v>275</v>
      </c>
      <c r="B326" s="2" t="s">
        <v>20</v>
      </c>
      <c r="C326" s="2" t="s">
        <v>16</v>
      </c>
      <c r="D326" s="2" t="s">
        <v>94</v>
      </c>
      <c r="E326" s="2">
        <v>2021</v>
      </c>
      <c r="F326" s="2" t="s">
        <v>49</v>
      </c>
      <c r="G326" s="3">
        <v>772157</v>
      </c>
      <c r="H326" s="2" t="str">
        <f t="shared" si="10"/>
        <v>2021-Q1</v>
      </c>
      <c r="I326" s="2" t="str">
        <f t="shared" si="11"/>
        <v>No</v>
      </c>
    </row>
    <row r="327" spans="1:9" ht="15" customHeight="1" x14ac:dyDescent="0.35">
      <c r="A327" s="2" t="s">
        <v>275</v>
      </c>
      <c r="B327" s="2" t="s">
        <v>20</v>
      </c>
      <c r="C327" s="2" t="s">
        <v>16</v>
      </c>
      <c r="D327" s="2" t="s">
        <v>94</v>
      </c>
      <c r="E327" s="2">
        <v>2021</v>
      </c>
      <c r="F327" s="2" t="s">
        <v>49</v>
      </c>
      <c r="G327" s="3">
        <v>1616031</v>
      </c>
      <c r="H327" s="2" t="str">
        <f t="shared" si="10"/>
        <v>2021-Q1</v>
      </c>
      <c r="I327" s="2" t="str">
        <f t="shared" si="11"/>
        <v>No</v>
      </c>
    </row>
    <row r="328" spans="1:9" ht="15" customHeight="1" x14ac:dyDescent="0.35">
      <c r="A328" s="2" t="s">
        <v>276</v>
      </c>
      <c r="B328" s="2" t="s">
        <v>20</v>
      </c>
      <c r="C328" s="2" t="s">
        <v>16</v>
      </c>
      <c r="D328" s="2" t="s">
        <v>94</v>
      </c>
      <c r="E328" s="2">
        <v>2021</v>
      </c>
      <c r="F328" s="2" t="s">
        <v>49</v>
      </c>
      <c r="G328" s="3">
        <v>501597</v>
      </c>
      <c r="H328" s="2" t="str">
        <f t="shared" si="10"/>
        <v>2021-Q1</v>
      </c>
      <c r="I328" s="2" t="str">
        <f t="shared" si="11"/>
        <v>No</v>
      </c>
    </row>
    <row r="329" spans="1:9" ht="15" customHeight="1" x14ac:dyDescent="0.35">
      <c r="A329" s="2" t="s">
        <v>277</v>
      </c>
      <c r="B329" s="2" t="s">
        <v>20</v>
      </c>
      <c r="C329" s="2" t="s">
        <v>16</v>
      </c>
      <c r="D329" s="2" t="s">
        <v>94</v>
      </c>
      <c r="E329" s="2">
        <v>2021</v>
      </c>
      <c r="F329" s="2" t="s">
        <v>49</v>
      </c>
      <c r="G329" s="3">
        <v>342694</v>
      </c>
      <c r="H329" s="2" t="str">
        <f t="shared" si="10"/>
        <v>2021-Q1</v>
      </c>
      <c r="I329" s="2" t="str">
        <f t="shared" si="11"/>
        <v>No</v>
      </c>
    </row>
    <row r="330" spans="1:9" ht="15" customHeight="1" x14ac:dyDescent="0.35">
      <c r="A330" s="2" t="s">
        <v>277</v>
      </c>
      <c r="B330" s="2" t="s">
        <v>20</v>
      </c>
      <c r="C330" s="2" t="s">
        <v>21</v>
      </c>
      <c r="D330" s="2" t="s">
        <v>94</v>
      </c>
      <c r="E330" s="2">
        <v>2021</v>
      </c>
      <c r="F330" s="2" t="s">
        <v>49</v>
      </c>
      <c r="G330" s="3">
        <v>1471375</v>
      </c>
      <c r="H330" s="2" t="str">
        <f t="shared" si="10"/>
        <v>2021-Q1</v>
      </c>
      <c r="I330" s="2" t="str">
        <f t="shared" si="11"/>
        <v>No</v>
      </c>
    </row>
    <row r="331" spans="1:9" ht="15" customHeight="1" x14ac:dyDescent="0.35">
      <c r="A331" s="2" t="s">
        <v>278</v>
      </c>
      <c r="B331" s="2" t="s">
        <v>20</v>
      </c>
      <c r="C331" s="2" t="s">
        <v>16</v>
      </c>
      <c r="D331" s="2" t="s">
        <v>94</v>
      </c>
      <c r="E331" s="2">
        <v>2021</v>
      </c>
      <c r="F331" s="2" t="s">
        <v>49</v>
      </c>
      <c r="G331" s="3">
        <v>1447654</v>
      </c>
      <c r="H331" s="2" t="str">
        <f t="shared" si="10"/>
        <v>2021-Q1</v>
      </c>
      <c r="I331" s="2" t="str">
        <f t="shared" si="11"/>
        <v>No</v>
      </c>
    </row>
    <row r="332" spans="1:9" ht="15" customHeight="1" x14ac:dyDescent="0.35">
      <c r="A332" s="2" t="s">
        <v>278</v>
      </c>
      <c r="B332" s="2" t="s">
        <v>20</v>
      </c>
      <c r="C332" s="2" t="s">
        <v>21</v>
      </c>
      <c r="D332" s="2" t="s">
        <v>94</v>
      </c>
      <c r="E332" s="2">
        <v>2021</v>
      </c>
      <c r="F332" s="2" t="s">
        <v>49</v>
      </c>
      <c r="G332" s="3">
        <v>1138550</v>
      </c>
      <c r="H332" s="2" t="str">
        <f t="shared" si="10"/>
        <v>2021-Q1</v>
      </c>
      <c r="I332" s="2" t="str">
        <f t="shared" si="11"/>
        <v>No</v>
      </c>
    </row>
    <row r="333" spans="1:9" ht="15" customHeight="1" x14ac:dyDescent="0.35">
      <c r="A333" s="2" t="s">
        <v>279</v>
      </c>
      <c r="B333" s="2" t="s">
        <v>20</v>
      </c>
      <c r="C333" s="2" t="s">
        <v>21</v>
      </c>
      <c r="D333" s="2" t="s">
        <v>94</v>
      </c>
      <c r="E333" s="2">
        <v>2021</v>
      </c>
      <c r="F333" s="2" t="s">
        <v>49</v>
      </c>
      <c r="G333" s="3">
        <v>126557</v>
      </c>
      <c r="H333" s="2" t="str">
        <f t="shared" si="10"/>
        <v>2021-Q1</v>
      </c>
      <c r="I333" s="2" t="str">
        <f t="shared" si="11"/>
        <v>No</v>
      </c>
    </row>
    <row r="334" spans="1:9" ht="15" customHeight="1" x14ac:dyDescent="0.35">
      <c r="A334" s="2" t="s">
        <v>280</v>
      </c>
      <c r="B334" s="2" t="s">
        <v>20</v>
      </c>
      <c r="C334" s="2" t="s">
        <v>21</v>
      </c>
      <c r="D334" s="2" t="s">
        <v>94</v>
      </c>
      <c r="E334" s="2">
        <v>2021</v>
      </c>
      <c r="F334" s="2" t="s">
        <v>49</v>
      </c>
      <c r="G334" s="3">
        <v>1338180</v>
      </c>
      <c r="H334" s="2" t="str">
        <f t="shared" si="10"/>
        <v>2021-Q1</v>
      </c>
      <c r="I334" s="2" t="str">
        <f t="shared" si="11"/>
        <v>No</v>
      </c>
    </row>
    <row r="335" spans="1:9" ht="15" customHeight="1" x14ac:dyDescent="0.35">
      <c r="A335" s="2" t="s">
        <v>281</v>
      </c>
      <c r="B335" s="2" t="s">
        <v>20</v>
      </c>
      <c r="C335" s="2" t="s">
        <v>21</v>
      </c>
      <c r="D335" s="2" t="s">
        <v>94</v>
      </c>
      <c r="E335" s="2">
        <v>2021</v>
      </c>
      <c r="F335" s="2" t="s">
        <v>49</v>
      </c>
      <c r="G335" s="3">
        <v>1482245</v>
      </c>
      <c r="H335" s="2" t="str">
        <f t="shared" si="10"/>
        <v>2021-Q1</v>
      </c>
      <c r="I335" s="2" t="str">
        <f t="shared" si="11"/>
        <v>No</v>
      </c>
    </row>
    <row r="336" spans="1:9" ht="15" customHeight="1" x14ac:dyDescent="0.35">
      <c r="A336" s="2" t="s">
        <v>282</v>
      </c>
      <c r="B336" s="2" t="s">
        <v>20</v>
      </c>
      <c r="C336" s="2" t="s">
        <v>21</v>
      </c>
      <c r="D336" s="2" t="s">
        <v>94</v>
      </c>
      <c r="E336" s="2">
        <v>2021</v>
      </c>
      <c r="F336" s="2" t="s">
        <v>49</v>
      </c>
      <c r="G336" s="3">
        <v>1483781</v>
      </c>
      <c r="H336" s="2" t="str">
        <f t="shared" si="10"/>
        <v>2021-Q1</v>
      </c>
      <c r="I336" s="2" t="str">
        <f t="shared" si="11"/>
        <v>No</v>
      </c>
    </row>
    <row r="337" spans="1:9" ht="15" customHeight="1" x14ac:dyDescent="0.35">
      <c r="A337" s="2" t="s">
        <v>283</v>
      </c>
      <c r="B337" s="2" t="s">
        <v>20</v>
      </c>
      <c r="C337" s="2" t="s">
        <v>21</v>
      </c>
      <c r="D337" s="2" t="s">
        <v>94</v>
      </c>
      <c r="E337" s="2">
        <v>2021</v>
      </c>
      <c r="F337" s="2" t="s">
        <v>49</v>
      </c>
      <c r="G337" s="3">
        <v>1291426</v>
      </c>
      <c r="H337" s="2" t="str">
        <f t="shared" si="10"/>
        <v>2021-Q1</v>
      </c>
      <c r="I337" s="2" t="str">
        <f t="shared" si="11"/>
        <v>No</v>
      </c>
    </row>
    <row r="338" spans="1:9" ht="15" customHeight="1" x14ac:dyDescent="0.35">
      <c r="A338" s="2" t="s">
        <v>284</v>
      </c>
      <c r="B338" s="2" t="s">
        <v>20</v>
      </c>
      <c r="C338" s="2" t="s">
        <v>21</v>
      </c>
      <c r="D338" s="2" t="s">
        <v>94</v>
      </c>
      <c r="E338" s="2">
        <v>2021</v>
      </c>
      <c r="F338" s="2" t="s">
        <v>49</v>
      </c>
      <c r="G338" s="3">
        <v>494077</v>
      </c>
      <c r="H338" s="2" t="str">
        <f t="shared" si="10"/>
        <v>2021-Q1</v>
      </c>
      <c r="I338" s="2" t="str">
        <f t="shared" si="11"/>
        <v>No</v>
      </c>
    </row>
    <row r="339" spans="1:9" ht="15" customHeight="1" x14ac:dyDescent="0.35">
      <c r="A339" s="2" t="s">
        <v>285</v>
      </c>
      <c r="B339" s="2" t="s">
        <v>24</v>
      </c>
      <c r="C339" s="2" t="s">
        <v>21</v>
      </c>
      <c r="D339" s="2" t="s">
        <v>94</v>
      </c>
      <c r="E339" s="2">
        <v>2021</v>
      </c>
      <c r="F339" s="2" t="s">
        <v>49</v>
      </c>
      <c r="G339" s="3">
        <v>244270</v>
      </c>
      <c r="H339" s="2" t="str">
        <f t="shared" si="10"/>
        <v>2021-Q1</v>
      </c>
      <c r="I339" s="2" t="str">
        <f t="shared" si="11"/>
        <v>No</v>
      </c>
    </row>
    <row r="340" spans="1:9" ht="15" customHeight="1" x14ac:dyDescent="0.35">
      <c r="A340" s="2" t="s">
        <v>286</v>
      </c>
      <c r="B340" s="2" t="s">
        <v>24</v>
      </c>
      <c r="C340" s="2" t="s">
        <v>21</v>
      </c>
      <c r="D340" s="2" t="s">
        <v>94</v>
      </c>
      <c r="E340" s="2">
        <v>2021</v>
      </c>
      <c r="F340" s="2" t="s">
        <v>49</v>
      </c>
      <c r="G340" s="3">
        <v>202651</v>
      </c>
      <c r="H340" s="2" t="str">
        <f t="shared" si="10"/>
        <v>2021-Q1</v>
      </c>
      <c r="I340" s="2" t="str">
        <f t="shared" si="11"/>
        <v>No</v>
      </c>
    </row>
    <row r="341" spans="1:9" ht="15" customHeight="1" x14ac:dyDescent="0.35">
      <c r="A341" s="2" t="s">
        <v>287</v>
      </c>
      <c r="B341" s="2" t="s">
        <v>24</v>
      </c>
      <c r="C341" s="2" t="s">
        <v>25</v>
      </c>
      <c r="D341" s="2" t="s">
        <v>94</v>
      </c>
      <c r="E341" s="2">
        <v>2021</v>
      </c>
      <c r="F341" s="2" t="s">
        <v>49</v>
      </c>
      <c r="G341" s="3">
        <v>1194863</v>
      </c>
      <c r="H341" s="2" t="str">
        <f t="shared" si="10"/>
        <v>2021-Q1</v>
      </c>
      <c r="I341" s="2" t="str">
        <f t="shared" si="11"/>
        <v>No</v>
      </c>
    </row>
    <row r="342" spans="1:9" ht="15" customHeight="1" x14ac:dyDescent="0.35">
      <c r="A342" s="2" t="s">
        <v>287</v>
      </c>
      <c r="B342" s="2" t="s">
        <v>24</v>
      </c>
      <c r="C342" s="2" t="s">
        <v>21</v>
      </c>
      <c r="D342" s="2" t="s">
        <v>94</v>
      </c>
      <c r="E342" s="2">
        <v>2021</v>
      </c>
      <c r="F342" s="2" t="s">
        <v>49</v>
      </c>
      <c r="G342" s="3">
        <v>985177</v>
      </c>
      <c r="H342" s="2" t="str">
        <f t="shared" si="10"/>
        <v>2021-Q1</v>
      </c>
      <c r="I342" s="2" t="str">
        <f t="shared" si="11"/>
        <v>No</v>
      </c>
    </row>
    <row r="343" spans="1:9" ht="15" customHeight="1" x14ac:dyDescent="0.35">
      <c r="A343" s="2" t="s">
        <v>288</v>
      </c>
      <c r="B343" s="2" t="s">
        <v>24</v>
      </c>
      <c r="C343" s="2" t="s">
        <v>21</v>
      </c>
      <c r="D343" s="2" t="s">
        <v>94</v>
      </c>
      <c r="E343" s="2">
        <v>2021</v>
      </c>
      <c r="F343" s="2" t="s">
        <v>49</v>
      </c>
      <c r="G343" s="3">
        <v>1612172</v>
      </c>
      <c r="H343" s="2" t="str">
        <f t="shared" si="10"/>
        <v>2021-Q1</v>
      </c>
      <c r="I343" s="2" t="str">
        <f t="shared" si="11"/>
        <v>No</v>
      </c>
    </row>
    <row r="344" spans="1:9" ht="15" customHeight="1" x14ac:dyDescent="0.35">
      <c r="A344" s="2" t="s">
        <v>288</v>
      </c>
      <c r="B344" s="2" t="s">
        <v>24</v>
      </c>
      <c r="C344" s="2" t="s">
        <v>21</v>
      </c>
      <c r="D344" s="2" t="s">
        <v>94</v>
      </c>
      <c r="E344" s="2">
        <v>2021</v>
      </c>
      <c r="F344" s="2" t="s">
        <v>49</v>
      </c>
      <c r="G344" s="3">
        <v>362308</v>
      </c>
      <c r="H344" s="2" t="str">
        <f t="shared" si="10"/>
        <v>2021-Q1</v>
      </c>
      <c r="I344" s="2" t="str">
        <f t="shared" si="11"/>
        <v>No</v>
      </c>
    </row>
    <row r="345" spans="1:9" ht="15" customHeight="1" x14ac:dyDescent="0.35">
      <c r="A345" s="2" t="s">
        <v>289</v>
      </c>
      <c r="B345" s="2" t="s">
        <v>24</v>
      </c>
      <c r="C345" s="2" t="s">
        <v>21</v>
      </c>
      <c r="D345" s="2" t="s">
        <v>94</v>
      </c>
      <c r="E345" s="2">
        <v>2021</v>
      </c>
      <c r="F345" s="2" t="s">
        <v>49</v>
      </c>
      <c r="G345" s="3">
        <v>1637925</v>
      </c>
      <c r="H345" s="2" t="str">
        <f t="shared" si="10"/>
        <v>2021-Q1</v>
      </c>
      <c r="I345" s="2" t="str">
        <f t="shared" si="11"/>
        <v>No</v>
      </c>
    </row>
    <row r="346" spans="1:9" ht="15" customHeight="1" x14ac:dyDescent="0.35">
      <c r="A346" s="2" t="s">
        <v>290</v>
      </c>
      <c r="B346" s="2" t="s">
        <v>24</v>
      </c>
      <c r="C346" s="2" t="s">
        <v>21</v>
      </c>
      <c r="D346" s="2" t="s">
        <v>110</v>
      </c>
      <c r="E346" s="2">
        <v>2021</v>
      </c>
      <c r="F346" s="2" t="s">
        <v>111</v>
      </c>
      <c r="G346" s="3">
        <v>1112967</v>
      </c>
      <c r="H346" s="2" t="str">
        <f t="shared" si="10"/>
        <v>2021-Q2</v>
      </c>
      <c r="I346" s="2" t="str">
        <f t="shared" si="11"/>
        <v>No</v>
      </c>
    </row>
    <row r="347" spans="1:9" ht="15" customHeight="1" x14ac:dyDescent="0.35">
      <c r="A347" s="2" t="s">
        <v>291</v>
      </c>
      <c r="B347" s="2" t="s">
        <v>24</v>
      </c>
      <c r="C347" s="2" t="s">
        <v>21</v>
      </c>
      <c r="D347" s="2" t="s">
        <v>110</v>
      </c>
      <c r="E347" s="2">
        <v>2021</v>
      </c>
      <c r="F347" s="2" t="s">
        <v>111</v>
      </c>
      <c r="G347" s="3">
        <v>236582</v>
      </c>
      <c r="H347" s="2" t="str">
        <f t="shared" si="10"/>
        <v>2021-Q2</v>
      </c>
      <c r="I347" s="2" t="str">
        <f t="shared" si="11"/>
        <v>No</v>
      </c>
    </row>
    <row r="348" spans="1:9" ht="15" customHeight="1" x14ac:dyDescent="0.35">
      <c r="A348" s="2" t="s">
        <v>292</v>
      </c>
      <c r="B348" s="2" t="s">
        <v>24</v>
      </c>
      <c r="C348" s="2" t="s">
        <v>21</v>
      </c>
      <c r="D348" s="2" t="s">
        <v>110</v>
      </c>
      <c r="E348" s="2">
        <v>2021</v>
      </c>
      <c r="F348" s="2" t="s">
        <v>111</v>
      </c>
      <c r="G348" s="3">
        <v>690844</v>
      </c>
      <c r="H348" s="2" t="str">
        <f t="shared" si="10"/>
        <v>2021-Q2</v>
      </c>
      <c r="I348" s="2" t="str">
        <f t="shared" si="11"/>
        <v>No</v>
      </c>
    </row>
    <row r="349" spans="1:9" ht="15" customHeight="1" x14ac:dyDescent="0.35">
      <c r="A349" s="2" t="s">
        <v>293</v>
      </c>
      <c r="B349" s="2" t="s">
        <v>24</v>
      </c>
      <c r="C349" s="2" t="s">
        <v>16</v>
      </c>
      <c r="D349" s="2" t="s">
        <v>110</v>
      </c>
      <c r="E349" s="2">
        <v>2021</v>
      </c>
      <c r="F349" s="2" t="s">
        <v>111</v>
      </c>
      <c r="G349" s="3">
        <v>1755000</v>
      </c>
      <c r="H349" s="2" t="str">
        <f t="shared" si="10"/>
        <v>2021-Q2</v>
      </c>
      <c r="I349" s="2" t="str">
        <f t="shared" si="11"/>
        <v>No</v>
      </c>
    </row>
    <row r="350" spans="1:9" ht="15" customHeight="1" x14ac:dyDescent="0.35">
      <c r="A350" s="2" t="s">
        <v>293</v>
      </c>
      <c r="B350" s="2" t="s">
        <v>24</v>
      </c>
      <c r="C350" s="2" t="s">
        <v>21</v>
      </c>
      <c r="D350" s="2" t="s">
        <v>110</v>
      </c>
      <c r="E350" s="2">
        <v>2021</v>
      </c>
      <c r="F350" s="2" t="s">
        <v>111</v>
      </c>
      <c r="G350" s="3">
        <v>402346</v>
      </c>
      <c r="H350" s="2" t="str">
        <f t="shared" si="10"/>
        <v>2021-Q2</v>
      </c>
      <c r="I350" s="2" t="str">
        <f t="shared" si="11"/>
        <v>No</v>
      </c>
    </row>
    <row r="351" spans="1:9" ht="15" customHeight="1" x14ac:dyDescent="0.35">
      <c r="A351" s="2" t="s">
        <v>294</v>
      </c>
      <c r="B351" s="2" t="s">
        <v>24</v>
      </c>
      <c r="C351" s="2" t="s">
        <v>21</v>
      </c>
      <c r="D351" s="2" t="s">
        <v>110</v>
      </c>
      <c r="E351" s="2">
        <v>2021</v>
      </c>
      <c r="F351" s="2" t="s">
        <v>111</v>
      </c>
      <c r="G351" s="3">
        <v>1960974</v>
      </c>
      <c r="H351" s="2" t="str">
        <f t="shared" si="10"/>
        <v>2021-Q2</v>
      </c>
      <c r="I351" s="2" t="str">
        <f t="shared" si="11"/>
        <v>No</v>
      </c>
    </row>
    <row r="352" spans="1:9" ht="15" customHeight="1" x14ac:dyDescent="0.35">
      <c r="A352" s="2" t="s">
        <v>295</v>
      </c>
      <c r="B352" s="2" t="s">
        <v>24</v>
      </c>
      <c r="C352" s="2" t="s">
        <v>21</v>
      </c>
      <c r="D352" s="2" t="s">
        <v>110</v>
      </c>
      <c r="E352" s="2">
        <v>2021</v>
      </c>
      <c r="F352" s="2" t="s">
        <v>111</v>
      </c>
      <c r="G352" s="3">
        <v>1693451</v>
      </c>
      <c r="H352" s="2" t="str">
        <f t="shared" si="10"/>
        <v>2021-Q2</v>
      </c>
      <c r="I352" s="2" t="str">
        <f t="shared" si="11"/>
        <v>No</v>
      </c>
    </row>
    <row r="353" spans="1:9" ht="15" customHeight="1" x14ac:dyDescent="0.35">
      <c r="A353" s="2" t="s">
        <v>296</v>
      </c>
      <c r="B353" s="2" t="s">
        <v>24</v>
      </c>
      <c r="C353" s="2" t="s">
        <v>21</v>
      </c>
      <c r="D353" s="2" t="s">
        <v>110</v>
      </c>
      <c r="E353" s="2">
        <v>2021</v>
      </c>
      <c r="F353" s="2" t="s">
        <v>111</v>
      </c>
      <c r="G353" s="3">
        <v>348204</v>
      </c>
      <c r="H353" s="2" t="str">
        <f t="shared" si="10"/>
        <v>2021-Q2</v>
      </c>
      <c r="I353" s="2" t="str">
        <f t="shared" si="11"/>
        <v>No</v>
      </c>
    </row>
    <row r="354" spans="1:9" ht="15" customHeight="1" x14ac:dyDescent="0.35">
      <c r="A354" s="2" t="s">
        <v>297</v>
      </c>
      <c r="B354" s="2" t="s">
        <v>24</v>
      </c>
      <c r="C354" s="2" t="s">
        <v>21</v>
      </c>
      <c r="D354" s="2" t="s">
        <v>110</v>
      </c>
      <c r="E354" s="2">
        <v>2021</v>
      </c>
      <c r="F354" s="2" t="s">
        <v>111</v>
      </c>
      <c r="G354" s="3">
        <v>1603278</v>
      </c>
      <c r="H354" s="2" t="str">
        <f t="shared" si="10"/>
        <v>2021-Q2</v>
      </c>
      <c r="I354" s="2" t="str">
        <f t="shared" si="11"/>
        <v>No</v>
      </c>
    </row>
    <row r="355" spans="1:9" ht="15" customHeight="1" x14ac:dyDescent="0.35">
      <c r="A355" s="2" t="s">
        <v>298</v>
      </c>
      <c r="B355" s="2" t="s">
        <v>24</v>
      </c>
      <c r="C355" s="2" t="s">
        <v>21</v>
      </c>
      <c r="D355" s="2" t="s">
        <v>110</v>
      </c>
      <c r="E355" s="2">
        <v>2021</v>
      </c>
      <c r="F355" s="2" t="s">
        <v>111</v>
      </c>
      <c r="G355" s="3">
        <v>1342342</v>
      </c>
      <c r="H355" s="2" t="str">
        <f t="shared" si="10"/>
        <v>2021-Q2</v>
      </c>
      <c r="I355" s="2" t="str">
        <f t="shared" si="11"/>
        <v>No</v>
      </c>
    </row>
    <row r="356" spans="1:9" ht="15" customHeight="1" x14ac:dyDescent="0.35">
      <c r="A356" s="2" t="s">
        <v>299</v>
      </c>
      <c r="B356" s="2" t="s">
        <v>24</v>
      </c>
      <c r="C356" s="2" t="s">
        <v>11</v>
      </c>
      <c r="D356" s="2" t="s">
        <v>110</v>
      </c>
      <c r="E356" s="2">
        <v>2021</v>
      </c>
      <c r="F356" s="2" t="s">
        <v>111</v>
      </c>
      <c r="G356" s="3">
        <v>935490</v>
      </c>
      <c r="H356" s="2" t="str">
        <f t="shared" si="10"/>
        <v>2021-Q2</v>
      </c>
      <c r="I356" s="2" t="str">
        <f t="shared" si="11"/>
        <v>No</v>
      </c>
    </row>
    <row r="357" spans="1:9" ht="15" customHeight="1" x14ac:dyDescent="0.35">
      <c r="A357" s="2" t="s">
        <v>299</v>
      </c>
      <c r="B357" s="2" t="s">
        <v>24</v>
      </c>
      <c r="C357" s="2" t="s">
        <v>21</v>
      </c>
      <c r="D357" s="2" t="s">
        <v>110</v>
      </c>
      <c r="E357" s="2">
        <v>2021</v>
      </c>
      <c r="F357" s="2" t="s">
        <v>111</v>
      </c>
      <c r="G357" s="3">
        <v>1598325</v>
      </c>
      <c r="H357" s="2" t="str">
        <f t="shared" si="10"/>
        <v>2021-Q2</v>
      </c>
      <c r="I357" s="2" t="str">
        <f t="shared" si="11"/>
        <v>No</v>
      </c>
    </row>
    <row r="358" spans="1:9" ht="15" customHeight="1" x14ac:dyDescent="0.35">
      <c r="A358" s="2" t="s">
        <v>300</v>
      </c>
      <c r="B358" s="2" t="s">
        <v>24</v>
      </c>
      <c r="C358" s="2" t="s">
        <v>21</v>
      </c>
      <c r="D358" s="2" t="s">
        <v>110</v>
      </c>
      <c r="E358" s="2">
        <v>2021</v>
      </c>
      <c r="F358" s="2" t="s">
        <v>111</v>
      </c>
      <c r="G358" s="3">
        <v>1430846</v>
      </c>
      <c r="H358" s="2" t="str">
        <f t="shared" si="10"/>
        <v>2021-Q2</v>
      </c>
      <c r="I358" s="2" t="str">
        <f t="shared" si="11"/>
        <v>No</v>
      </c>
    </row>
    <row r="359" spans="1:9" ht="15" customHeight="1" x14ac:dyDescent="0.35">
      <c r="A359" s="2" t="s">
        <v>301</v>
      </c>
      <c r="B359" s="2" t="s">
        <v>24</v>
      </c>
      <c r="C359" s="2" t="s">
        <v>21</v>
      </c>
      <c r="D359" s="2" t="s">
        <v>110</v>
      </c>
      <c r="E359" s="2">
        <v>2021</v>
      </c>
      <c r="F359" s="2" t="s">
        <v>111</v>
      </c>
      <c r="G359" s="3">
        <v>214411</v>
      </c>
      <c r="H359" s="2" t="str">
        <f t="shared" si="10"/>
        <v>2021-Q2</v>
      </c>
      <c r="I359" s="2" t="str">
        <f t="shared" si="11"/>
        <v>No</v>
      </c>
    </row>
    <row r="360" spans="1:9" ht="15" customHeight="1" x14ac:dyDescent="0.35">
      <c r="A360" s="2" t="s">
        <v>302</v>
      </c>
      <c r="B360" s="2" t="s">
        <v>24</v>
      </c>
      <c r="C360" s="2" t="s">
        <v>21</v>
      </c>
      <c r="D360" s="2" t="s">
        <v>110</v>
      </c>
      <c r="E360" s="2">
        <v>2021</v>
      </c>
      <c r="F360" s="2" t="s">
        <v>111</v>
      </c>
      <c r="G360" s="3">
        <v>791424</v>
      </c>
      <c r="H360" s="2" t="str">
        <f t="shared" si="10"/>
        <v>2021-Q2</v>
      </c>
      <c r="I360" s="2" t="str">
        <f t="shared" si="11"/>
        <v>No</v>
      </c>
    </row>
    <row r="361" spans="1:9" ht="15" customHeight="1" x14ac:dyDescent="0.35">
      <c r="A361" s="2" t="s">
        <v>303</v>
      </c>
      <c r="B361" s="2" t="s">
        <v>24</v>
      </c>
      <c r="C361" s="2" t="s">
        <v>11</v>
      </c>
      <c r="D361" s="2" t="s">
        <v>110</v>
      </c>
      <c r="E361" s="2">
        <v>2021</v>
      </c>
      <c r="F361" s="2" t="s">
        <v>111</v>
      </c>
      <c r="G361" s="3">
        <v>394061</v>
      </c>
      <c r="H361" s="2" t="str">
        <f t="shared" si="10"/>
        <v>2021-Q2</v>
      </c>
      <c r="I361" s="2" t="str">
        <f t="shared" si="11"/>
        <v>No</v>
      </c>
    </row>
    <row r="362" spans="1:9" ht="15" customHeight="1" x14ac:dyDescent="0.35">
      <c r="A362" s="2" t="s">
        <v>304</v>
      </c>
      <c r="B362" s="2" t="s">
        <v>24</v>
      </c>
      <c r="C362" s="2" t="s">
        <v>21</v>
      </c>
      <c r="D362" s="2" t="s">
        <v>131</v>
      </c>
      <c r="E362" s="2">
        <v>2021</v>
      </c>
      <c r="F362" s="2" t="s">
        <v>111</v>
      </c>
      <c r="G362" s="3">
        <v>272760</v>
      </c>
      <c r="H362" s="2" t="str">
        <f t="shared" si="10"/>
        <v>2021-Q2</v>
      </c>
      <c r="I362" s="2" t="str">
        <f t="shared" si="11"/>
        <v>No</v>
      </c>
    </row>
    <row r="363" spans="1:9" ht="15" customHeight="1" x14ac:dyDescent="0.35">
      <c r="A363" s="2" t="s">
        <v>305</v>
      </c>
      <c r="B363" s="2" t="s">
        <v>24</v>
      </c>
      <c r="C363" s="2" t="s">
        <v>21</v>
      </c>
      <c r="D363" s="2" t="s">
        <v>131</v>
      </c>
      <c r="E363" s="2">
        <v>2021</v>
      </c>
      <c r="F363" s="2" t="s">
        <v>111</v>
      </c>
      <c r="G363" s="3">
        <v>1639657</v>
      </c>
      <c r="H363" s="2" t="str">
        <f t="shared" si="10"/>
        <v>2021-Q2</v>
      </c>
      <c r="I363" s="2" t="str">
        <f t="shared" si="11"/>
        <v>No</v>
      </c>
    </row>
    <row r="364" spans="1:9" ht="15" customHeight="1" x14ac:dyDescent="0.35">
      <c r="A364" s="2" t="s">
        <v>305</v>
      </c>
      <c r="B364" s="2" t="s">
        <v>29</v>
      </c>
      <c r="C364" s="2" t="s">
        <v>11</v>
      </c>
      <c r="D364" s="2" t="s">
        <v>131</v>
      </c>
      <c r="E364" s="2">
        <v>2021</v>
      </c>
      <c r="F364" s="2" t="s">
        <v>111</v>
      </c>
      <c r="G364" s="3">
        <v>577852</v>
      </c>
      <c r="H364" s="2" t="str">
        <f t="shared" si="10"/>
        <v>2021-Q2</v>
      </c>
      <c r="I364" s="2" t="str">
        <f t="shared" si="11"/>
        <v>No</v>
      </c>
    </row>
    <row r="365" spans="1:9" ht="15" customHeight="1" x14ac:dyDescent="0.35">
      <c r="A365" s="2" t="s">
        <v>306</v>
      </c>
      <c r="B365" s="2" t="s">
        <v>29</v>
      </c>
      <c r="C365" s="2" t="s">
        <v>11</v>
      </c>
      <c r="D365" s="2" t="s">
        <v>131</v>
      </c>
      <c r="E365" s="2">
        <v>2021</v>
      </c>
      <c r="F365" s="2" t="s">
        <v>111</v>
      </c>
      <c r="G365" s="3">
        <v>597433</v>
      </c>
      <c r="H365" s="2" t="str">
        <f t="shared" si="10"/>
        <v>2021-Q2</v>
      </c>
      <c r="I365" s="2" t="str">
        <f t="shared" si="11"/>
        <v>No</v>
      </c>
    </row>
    <row r="366" spans="1:9" ht="15" customHeight="1" x14ac:dyDescent="0.35">
      <c r="A366" s="2" t="s">
        <v>306</v>
      </c>
      <c r="B366" s="2" t="s">
        <v>29</v>
      </c>
      <c r="C366" s="2" t="s">
        <v>11</v>
      </c>
      <c r="D366" s="2" t="s">
        <v>131</v>
      </c>
      <c r="E366" s="2">
        <v>2021</v>
      </c>
      <c r="F366" s="2" t="s">
        <v>111</v>
      </c>
      <c r="G366" s="3">
        <v>264551</v>
      </c>
      <c r="H366" s="2" t="str">
        <f t="shared" si="10"/>
        <v>2021-Q2</v>
      </c>
      <c r="I366" s="2" t="str">
        <f t="shared" si="11"/>
        <v>No</v>
      </c>
    </row>
    <row r="367" spans="1:9" ht="15" customHeight="1" x14ac:dyDescent="0.35">
      <c r="A367" s="2" t="s">
        <v>306</v>
      </c>
      <c r="B367" s="2" t="s">
        <v>29</v>
      </c>
      <c r="C367" s="2" t="s">
        <v>11</v>
      </c>
      <c r="D367" s="2" t="s">
        <v>131</v>
      </c>
      <c r="E367" s="2">
        <v>2021</v>
      </c>
      <c r="F367" s="2" t="s">
        <v>111</v>
      </c>
      <c r="G367" s="3">
        <v>1324711</v>
      </c>
      <c r="H367" s="2" t="str">
        <f t="shared" si="10"/>
        <v>2021-Q2</v>
      </c>
      <c r="I367" s="2" t="str">
        <f t="shared" si="11"/>
        <v>No</v>
      </c>
    </row>
    <row r="368" spans="1:9" ht="15" customHeight="1" x14ac:dyDescent="0.35">
      <c r="A368" s="2" t="s">
        <v>307</v>
      </c>
      <c r="B368" s="2" t="s">
        <v>29</v>
      </c>
      <c r="C368" s="2" t="s">
        <v>11</v>
      </c>
      <c r="D368" s="2" t="s">
        <v>131</v>
      </c>
      <c r="E368" s="2">
        <v>2021</v>
      </c>
      <c r="F368" s="2" t="s">
        <v>111</v>
      </c>
      <c r="G368" s="3">
        <v>554702</v>
      </c>
      <c r="H368" s="2" t="str">
        <f t="shared" si="10"/>
        <v>2021-Q2</v>
      </c>
      <c r="I368" s="2" t="str">
        <f t="shared" si="11"/>
        <v>No</v>
      </c>
    </row>
    <row r="369" spans="1:9" ht="15" customHeight="1" x14ac:dyDescent="0.35">
      <c r="A369" s="2" t="s">
        <v>308</v>
      </c>
      <c r="B369" s="2" t="s">
        <v>29</v>
      </c>
      <c r="C369" s="2" t="s">
        <v>25</v>
      </c>
      <c r="D369" s="2" t="s">
        <v>131</v>
      </c>
      <c r="E369" s="2">
        <v>2021</v>
      </c>
      <c r="F369" s="2" t="s">
        <v>111</v>
      </c>
      <c r="G369" s="3">
        <v>208368</v>
      </c>
      <c r="H369" s="2" t="str">
        <f t="shared" si="10"/>
        <v>2021-Q2</v>
      </c>
      <c r="I369" s="2" t="str">
        <f t="shared" si="11"/>
        <v>No</v>
      </c>
    </row>
    <row r="370" spans="1:9" ht="15" customHeight="1" x14ac:dyDescent="0.35">
      <c r="A370" s="2" t="s">
        <v>309</v>
      </c>
      <c r="B370" s="2" t="s">
        <v>29</v>
      </c>
      <c r="C370" s="2" t="s">
        <v>11</v>
      </c>
      <c r="D370" s="2" t="s">
        <v>131</v>
      </c>
      <c r="E370" s="2">
        <v>2021</v>
      </c>
      <c r="F370" s="2" t="s">
        <v>111</v>
      </c>
      <c r="G370" s="3">
        <v>1816220</v>
      </c>
      <c r="H370" s="2" t="str">
        <f t="shared" si="10"/>
        <v>2021-Q2</v>
      </c>
      <c r="I370" s="2" t="str">
        <f t="shared" si="11"/>
        <v>No</v>
      </c>
    </row>
    <row r="371" spans="1:9" ht="15" customHeight="1" x14ac:dyDescent="0.35">
      <c r="A371" s="2" t="s">
        <v>309</v>
      </c>
      <c r="B371" s="2" t="s">
        <v>29</v>
      </c>
      <c r="C371" s="2" t="s">
        <v>11</v>
      </c>
      <c r="D371" s="2" t="s">
        <v>131</v>
      </c>
      <c r="E371" s="2">
        <v>2021</v>
      </c>
      <c r="F371" s="2" t="s">
        <v>111</v>
      </c>
      <c r="G371" s="3">
        <v>1746236</v>
      </c>
      <c r="H371" s="2" t="str">
        <f t="shared" si="10"/>
        <v>2021-Q2</v>
      </c>
      <c r="I371" s="2" t="str">
        <f t="shared" si="11"/>
        <v>No</v>
      </c>
    </row>
    <row r="372" spans="1:9" ht="15" customHeight="1" x14ac:dyDescent="0.35">
      <c r="A372" s="2" t="s">
        <v>310</v>
      </c>
      <c r="B372" s="2" t="s">
        <v>29</v>
      </c>
      <c r="C372" s="2" t="s">
        <v>11</v>
      </c>
      <c r="D372" s="2" t="s">
        <v>131</v>
      </c>
      <c r="E372" s="2">
        <v>2021</v>
      </c>
      <c r="F372" s="2" t="s">
        <v>111</v>
      </c>
      <c r="G372" s="3">
        <v>1683489</v>
      </c>
      <c r="H372" s="2" t="str">
        <f t="shared" si="10"/>
        <v>2021-Q2</v>
      </c>
      <c r="I372" s="2" t="str">
        <f t="shared" si="11"/>
        <v>No</v>
      </c>
    </row>
    <row r="373" spans="1:9" ht="15" customHeight="1" x14ac:dyDescent="0.35">
      <c r="A373" s="2" t="s">
        <v>311</v>
      </c>
      <c r="B373" s="2" t="s">
        <v>29</v>
      </c>
      <c r="C373" s="2" t="s">
        <v>11</v>
      </c>
      <c r="D373" s="2" t="s">
        <v>131</v>
      </c>
      <c r="E373" s="2">
        <v>2021</v>
      </c>
      <c r="F373" s="2" t="s">
        <v>111</v>
      </c>
      <c r="G373" s="3">
        <v>591696</v>
      </c>
      <c r="H373" s="2" t="str">
        <f t="shared" si="10"/>
        <v>2021-Q2</v>
      </c>
      <c r="I373" s="2" t="str">
        <f t="shared" si="11"/>
        <v>No</v>
      </c>
    </row>
    <row r="374" spans="1:9" ht="15" customHeight="1" x14ac:dyDescent="0.35">
      <c r="A374" s="2" t="s">
        <v>311</v>
      </c>
      <c r="B374" s="2" t="s">
        <v>29</v>
      </c>
      <c r="C374" s="2" t="s">
        <v>11</v>
      </c>
      <c r="D374" s="2" t="s">
        <v>131</v>
      </c>
      <c r="E374" s="2">
        <v>2021</v>
      </c>
      <c r="F374" s="2" t="s">
        <v>111</v>
      </c>
      <c r="G374" s="3">
        <v>1908492</v>
      </c>
      <c r="H374" s="2" t="str">
        <f t="shared" si="10"/>
        <v>2021-Q2</v>
      </c>
      <c r="I374" s="2" t="str">
        <f t="shared" si="11"/>
        <v>No</v>
      </c>
    </row>
    <row r="375" spans="1:9" ht="15" customHeight="1" x14ac:dyDescent="0.35">
      <c r="A375" s="2" t="s">
        <v>312</v>
      </c>
      <c r="B375" s="2" t="s">
        <v>29</v>
      </c>
      <c r="C375" s="2" t="s">
        <v>11</v>
      </c>
      <c r="D375" s="2" t="s">
        <v>131</v>
      </c>
      <c r="E375" s="2">
        <v>2021</v>
      </c>
      <c r="F375" s="2" t="s">
        <v>111</v>
      </c>
      <c r="G375" s="3">
        <v>1649849</v>
      </c>
      <c r="H375" s="2" t="str">
        <f t="shared" si="10"/>
        <v>2021-Q2</v>
      </c>
      <c r="I375" s="2" t="str">
        <f t="shared" si="11"/>
        <v>No</v>
      </c>
    </row>
    <row r="376" spans="1:9" ht="15" customHeight="1" x14ac:dyDescent="0.35">
      <c r="A376" s="2" t="s">
        <v>312</v>
      </c>
      <c r="B376" s="2" t="s">
        <v>29</v>
      </c>
      <c r="C376" s="2" t="s">
        <v>11</v>
      </c>
      <c r="D376" s="2" t="s">
        <v>131</v>
      </c>
      <c r="E376" s="2">
        <v>2021</v>
      </c>
      <c r="F376" s="2" t="s">
        <v>111</v>
      </c>
      <c r="G376" s="3">
        <v>1081699</v>
      </c>
      <c r="H376" s="2" t="str">
        <f t="shared" si="10"/>
        <v>2021-Q2</v>
      </c>
      <c r="I376" s="2" t="str">
        <f t="shared" si="11"/>
        <v>No</v>
      </c>
    </row>
    <row r="377" spans="1:9" ht="15" customHeight="1" x14ac:dyDescent="0.35">
      <c r="A377" s="2" t="s">
        <v>312</v>
      </c>
      <c r="B377" s="2" t="s">
        <v>29</v>
      </c>
      <c r="C377" s="2" t="s">
        <v>25</v>
      </c>
      <c r="D377" s="2" t="s">
        <v>131</v>
      </c>
      <c r="E377" s="2">
        <v>2021</v>
      </c>
      <c r="F377" s="2" t="s">
        <v>111</v>
      </c>
      <c r="G377" s="3">
        <v>680075</v>
      </c>
      <c r="H377" s="2" t="str">
        <f t="shared" si="10"/>
        <v>2021-Q2</v>
      </c>
      <c r="I377" s="2" t="str">
        <f t="shared" si="11"/>
        <v>No</v>
      </c>
    </row>
    <row r="378" spans="1:9" ht="15" customHeight="1" x14ac:dyDescent="0.35">
      <c r="A378" s="2" t="s">
        <v>313</v>
      </c>
      <c r="B378" s="2" t="s">
        <v>29</v>
      </c>
      <c r="C378" s="2" t="s">
        <v>11</v>
      </c>
      <c r="D378" s="2" t="s">
        <v>131</v>
      </c>
      <c r="E378" s="2">
        <v>2021</v>
      </c>
      <c r="F378" s="2" t="s">
        <v>111</v>
      </c>
      <c r="G378" s="3">
        <v>1957975</v>
      </c>
      <c r="H378" s="2" t="str">
        <f t="shared" si="10"/>
        <v>2021-Q2</v>
      </c>
      <c r="I378" s="2" t="str">
        <f t="shared" si="11"/>
        <v>No</v>
      </c>
    </row>
    <row r="379" spans="1:9" ht="15" customHeight="1" x14ac:dyDescent="0.35">
      <c r="A379" s="2" t="s">
        <v>313</v>
      </c>
      <c r="B379" s="2" t="s">
        <v>29</v>
      </c>
      <c r="C379" s="2" t="s">
        <v>25</v>
      </c>
      <c r="D379" s="2" t="s">
        <v>131</v>
      </c>
      <c r="E379" s="2">
        <v>2021</v>
      </c>
      <c r="F379" s="2" t="s">
        <v>111</v>
      </c>
      <c r="G379" s="3">
        <v>969416</v>
      </c>
      <c r="H379" s="2" t="str">
        <f t="shared" si="10"/>
        <v>2021-Q2</v>
      </c>
      <c r="I379" s="2" t="str">
        <f t="shared" si="11"/>
        <v>No</v>
      </c>
    </row>
    <row r="380" spans="1:9" ht="15" customHeight="1" x14ac:dyDescent="0.35">
      <c r="A380" s="2" t="s">
        <v>314</v>
      </c>
      <c r="B380" s="2" t="s">
        <v>29</v>
      </c>
      <c r="C380" s="2" t="s">
        <v>25</v>
      </c>
      <c r="D380" s="2" t="s">
        <v>131</v>
      </c>
      <c r="E380" s="2">
        <v>2021</v>
      </c>
      <c r="F380" s="2" t="s">
        <v>111</v>
      </c>
      <c r="G380" s="3">
        <v>1172620</v>
      </c>
      <c r="H380" s="2" t="str">
        <f t="shared" si="10"/>
        <v>2021-Q2</v>
      </c>
      <c r="I380" s="2" t="str">
        <f t="shared" si="11"/>
        <v>No</v>
      </c>
    </row>
    <row r="381" spans="1:9" ht="15" customHeight="1" x14ac:dyDescent="0.35">
      <c r="A381" s="2" t="s">
        <v>314</v>
      </c>
      <c r="B381" s="2" t="s">
        <v>29</v>
      </c>
      <c r="C381" s="2" t="s">
        <v>25</v>
      </c>
      <c r="D381" s="2" t="s">
        <v>131</v>
      </c>
      <c r="E381" s="2">
        <v>2021</v>
      </c>
      <c r="F381" s="2" t="s">
        <v>111</v>
      </c>
      <c r="G381" s="3">
        <v>1203365</v>
      </c>
      <c r="H381" s="2" t="str">
        <f t="shared" si="10"/>
        <v>2021-Q2</v>
      </c>
      <c r="I381" s="2" t="str">
        <f t="shared" si="11"/>
        <v>No</v>
      </c>
    </row>
    <row r="382" spans="1:9" ht="15" customHeight="1" x14ac:dyDescent="0.35">
      <c r="A382" s="2" t="s">
        <v>315</v>
      </c>
      <c r="B382" s="2" t="s">
        <v>29</v>
      </c>
      <c r="C382" s="2" t="s">
        <v>25</v>
      </c>
      <c r="D382" s="2" t="s">
        <v>131</v>
      </c>
      <c r="E382" s="2">
        <v>2021</v>
      </c>
      <c r="F382" s="2" t="s">
        <v>111</v>
      </c>
      <c r="G382" s="3">
        <v>1835094</v>
      </c>
      <c r="H382" s="2" t="str">
        <f t="shared" si="10"/>
        <v>2021-Q2</v>
      </c>
      <c r="I382" s="2" t="str">
        <f t="shared" si="11"/>
        <v>No</v>
      </c>
    </row>
    <row r="383" spans="1:9" ht="15" customHeight="1" x14ac:dyDescent="0.35">
      <c r="A383" s="2" t="s">
        <v>316</v>
      </c>
      <c r="B383" s="2" t="s">
        <v>29</v>
      </c>
      <c r="C383" s="2" t="s">
        <v>21</v>
      </c>
      <c r="D383" s="2" t="s">
        <v>131</v>
      </c>
      <c r="E383" s="2">
        <v>2021</v>
      </c>
      <c r="F383" s="2" t="s">
        <v>111</v>
      </c>
      <c r="G383" s="3">
        <v>836312</v>
      </c>
      <c r="H383" s="2" t="str">
        <f t="shared" si="10"/>
        <v>2021-Q2</v>
      </c>
      <c r="I383" s="2" t="str">
        <f t="shared" si="11"/>
        <v>No</v>
      </c>
    </row>
    <row r="384" spans="1:9" ht="15" customHeight="1" x14ac:dyDescent="0.35">
      <c r="A384" s="2" t="s">
        <v>317</v>
      </c>
      <c r="B384" s="2" t="s">
        <v>29</v>
      </c>
      <c r="C384" s="2" t="s">
        <v>25</v>
      </c>
      <c r="D384" s="2" t="s">
        <v>12</v>
      </c>
      <c r="E384" s="2">
        <v>2021</v>
      </c>
      <c r="F384" s="2" t="s">
        <v>13</v>
      </c>
      <c r="G384" s="3">
        <v>263474</v>
      </c>
      <c r="H384" s="2" t="str">
        <f t="shared" si="10"/>
        <v>2021-Q3</v>
      </c>
      <c r="I384" s="2" t="str">
        <f t="shared" si="11"/>
        <v>No</v>
      </c>
    </row>
    <row r="385" spans="1:9" ht="15" customHeight="1" x14ac:dyDescent="0.35">
      <c r="A385" s="2" t="s">
        <v>317</v>
      </c>
      <c r="B385" s="2" t="s">
        <v>29</v>
      </c>
      <c r="C385" s="2" t="s">
        <v>25</v>
      </c>
      <c r="D385" s="2" t="s">
        <v>12</v>
      </c>
      <c r="E385" s="2">
        <v>2021</v>
      </c>
      <c r="F385" s="2" t="s">
        <v>13</v>
      </c>
      <c r="G385" s="3">
        <v>1413232</v>
      </c>
      <c r="H385" s="2" t="str">
        <f t="shared" si="10"/>
        <v>2021-Q3</v>
      </c>
      <c r="I385" s="2" t="str">
        <f t="shared" si="11"/>
        <v>No</v>
      </c>
    </row>
    <row r="386" spans="1:9" ht="15" customHeight="1" x14ac:dyDescent="0.35">
      <c r="A386" s="2" t="s">
        <v>318</v>
      </c>
      <c r="B386" s="2" t="s">
        <v>29</v>
      </c>
      <c r="C386" s="2" t="s">
        <v>25</v>
      </c>
      <c r="D386" s="2" t="s">
        <v>12</v>
      </c>
      <c r="E386" s="2">
        <v>2021</v>
      </c>
      <c r="F386" s="2" t="s">
        <v>13</v>
      </c>
      <c r="G386" s="3">
        <v>919477</v>
      </c>
      <c r="H386" s="2" t="str">
        <f t="shared" ref="H386:H449" si="12">E386&amp;"-"&amp;F386</f>
        <v>2021-Q3</v>
      </c>
      <c r="I386" s="2" t="str">
        <f t="shared" ref="I386:I449" si="13">IF(E386=2019,"Yes","No")</f>
        <v>No</v>
      </c>
    </row>
    <row r="387" spans="1:9" ht="15" customHeight="1" x14ac:dyDescent="0.35">
      <c r="A387" s="2" t="s">
        <v>319</v>
      </c>
      <c r="B387" s="2" t="s">
        <v>29</v>
      </c>
      <c r="C387" s="2" t="s">
        <v>25</v>
      </c>
      <c r="D387" s="2" t="s">
        <v>12</v>
      </c>
      <c r="E387" s="2">
        <v>2021</v>
      </c>
      <c r="F387" s="2" t="s">
        <v>13</v>
      </c>
      <c r="G387" s="3">
        <v>226279</v>
      </c>
      <c r="H387" s="2" t="str">
        <f t="shared" si="12"/>
        <v>2021-Q3</v>
      </c>
      <c r="I387" s="2" t="str">
        <f t="shared" si="13"/>
        <v>No</v>
      </c>
    </row>
    <row r="388" spans="1:9" ht="15" customHeight="1" x14ac:dyDescent="0.35">
      <c r="A388" s="2" t="s">
        <v>320</v>
      </c>
      <c r="B388" s="2" t="s">
        <v>29</v>
      </c>
      <c r="C388" s="2" t="s">
        <v>25</v>
      </c>
      <c r="D388" s="2" t="s">
        <v>12</v>
      </c>
      <c r="E388" s="2">
        <v>2021</v>
      </c>
      <c r="F388" s="2" t="s">
        <v>13</v>
      </c>
      <c r="G388" s="3">
        <v>1295300</v>
      </c>
      <c r="H388" s="2" t="str">
        <f t="shared" si="12"/>
        <v>2021-Q3</v>
      </c>
      <c r="I388" s="2" t="str">
        <f t="shared" si="13"/>
        <v>No</v>
      </c>
    </row>
    <row r="389" spans="1:9" ht="15" customHeight="1" x14ac:dyDescent="0.35">
      <c r="A389" s="2" t="s">
        <v>320</v>
      </c>
      <c r="B389" s="2" t="s">
        <v>29</v>
      </c>
      <c r="C389" s="2" t="s">
        <v>25</v>
      </c>
      <c r="D389" s="2" t="s">
        <v>12</v>
      </c>
      <c r="E389" s="2">
        <v>2021</v>
      </c>
      <c r="F389" s="2" t="s">
        <v>13</v>
      </c>
      <c r="G389" s="3">
        <v>524387</v>
      </c>
      <c r="H389" s="2" t="str">
        <f t="shared" si="12"/>
        <v>2021-Q3</v>
      </c>
      <c r="I389" s="2" t="str">
        <f t="shared" si="13"/>
        <v>No</v>
      </c>
    </row>
    <row r="390" spans="1:9" ht="15" customHeight="1" x14ac:dyDescent="0.35">
      <c r="A390" s="2" t="s">
        <v>321</v>
      </c>
      <c r="B390" s="2" t="s">
        <v>29</v>
      </c>
      <c r="C390" s="2" t="s">
        <v>25</v>
      </c>
      <c r="D390" s="2" t="s">
        <v>12</v>
      </c>
      <c r="E390" s="2">
        <v>2021</v>
      </c>
      <c r="F390" s="2" t="s">
        <v>13</v>
      </c>
      <c r="G390" s="3">
        <v>1508451</v>
      </c>
      <c r="H390" s="2" t="str">
        <f t="shared" si="12"/>
        <v>2021-Q3</v>
      </c>
      <c r="I390" s="2" t="str">
        <f t="shared" si="13"/>
        <v>No</v>
      </c>
    </row>
    <row r="391" spans="1:9" ht="15" customHeight="1" x14ac:dyDescent="0.35">
      <c r="A391" s="2" t="s">
        <v>322</v>
      </c>
      <c r="B391" s="2" t="s">
        <v>29</v>
      </c>
      <c r="C391" s="2" t="s">
        <v>21</v>
      </c>
      <c r="D391" s="2" t="s">
        <v>12</v>
      </c>
      <c r="E391" s="2">
        <v>2021</v>
      </c>
      <c r="F391" s="2" t="s">
        <v>13</v>
      </c>
      <c r="G391" s="3">
        <v>1584122</v>
      </c>
      <c r="H391" s="2" t="str">
        <f t="shared" si="12"/>
        <v>2021-Q3</v>
      </c>
      <c r="I391" s="2" t="str">
        <f t="shared" si="13"/>
        <v>No</v>
      </c>
    </row>
    <row r="392" spans="1:9" ht="15" customHeight="1" x14ac:dyDescent="0.35">
      <c r="A392" s="2" t="s">
        <v>323</v>
      </c>
      <c r="B392" s="2" t="s">
        <v>29</v>
      </c>
      <c r="C392" s="2" t="s">
        <v>25</v>
      </c>
      <c r="D392" s="2" t="s">
        <v>12</v>
      </c>
      <c r="E392" s="2">
        <v>2021</v>
      </c>
      <c r="F392" s="2" t="s">
        <v>13</v>
      </c>
      <c r="G392" s="3">
        <v>184898</v>
      </c>
      <c r="H392" s="2" t="str">
        <f t="shared" si="12"/>
        <v>2021-Q3</v>
      </c>
      <c r="I392" s="2" t="str">
        <f t="shared" si="13"/>
        <v>No</v>
      </c>
    </row>
    <row r="393" spans="1:9" ht="15" customHeight="1" x14ac:dyDescent="0.35">
      <c r="A393" s="2" t="s">
        <v>324</v>
      </c>
      <c r="B393" s="2" t="s">
        <v>29</v>
      </c>
      <c r="C393" s="2" t="s">
        <v>25</v>
      </c>
      <c r="D393" s="2" t="s">
        <v>12</v>
      </c>
      <c r="E393" s="2">
        <v>2021</v>
      </c>
      <c r="F393" s="2" t="s">
        <v>13</v>
      </c>
      <c r="G393" s="3">
        <v>1979686</v>
      </c>
      <c r="H393" s="2" t="str">
        <f t="shared" si="12"/>
        <v>2021-Q3</v>
      </c>
      <c r="I393" s="2" t="str">
        <f t="shared" si="13"/>
        <v>No</v>
      </c>
    </row>
    <row r="394" spans="1:9" ht="15" customHeight="1" x14ac:dyDescent="0.35">
      <c r="A394" s="2" t="s">
        <v>324</v>
      </c>
      <c r="B394" s="2" t="s">
        <v>29</v>
      </c>
      <c r="C394" s="2" t="s">
        <v>25</v>
      </c>
      <c r="D394" s="2" t="s">
        <v>12</v>
      </c>
      <c r="E394" s="2">
        <v>2021</v>
      </c>
      <c r="F394" s="2" t="s">
        <v>13</v>
      </c>
      <c r="G394" s="3">
        <v>453584</v>
      </c>
      <c r="H394" s="2" t="str">
        <f t="shared" si="12"/>
        <v>2021-Q3</v>
      </c>
      <c r="I394" s="2" t="str">
        <f t="shared" si="13"/>
        <v>No</v>
      </c>
    </row>
    <row r="395" spans="1:9" ht="15" customHeight="1" x14ac:dyDescent="0.35">
      <c r="A395" s="2" t="s">
        <v>325</v>
      </c>
      <c r="B395" s="2" t="s">
        <v>29</v>
      </c>
      <c r="C395" s="2" t="s">
        <v>25</v>
      </c>
      <c r="D395" s="2" t="s">
        <v>12</v>
      </c>
      <c r="E395" s="2">
        <v>2021</v>
      </c>
      <c r="F395" s="2" t="s">
        <v>13</v>
      </c>
      <c r="G395" s="3">
        <v>1635219</v>
      </c>
      <c r="H395" s="2" t="str">
        <f t="shared" si="12"/>
        <v>2021-Q3</v>
      </c>
      <c r="I395" s="2" t="str">
        <f t="shared" si="13"/>
        <v>No</v>
      </c>
    </row>
    <row r="396" spans="1:9" ht="15" customHeight="1" x14ac:dyDescent="0.35">
      <c r="A396" s="2" t="s">
        <v>326</v>
      </c>
      <c r="B396" s="2" t="s">
        <v>29</v>
      </c>
      <c r="C396" s="2" t="s">
        <v>25</v>
      </c>
      <c r="D396" s="2" t="s">
        <v>12</v>
      </c>
      <c r="E396" s="2">
        <v>2021</v>
      </c>
      <c r="F396" s="2" t="s">
        <v>13</v>
      </c>
      <c r="G396" s="3">
        <v>547110</v>
      </c>
      <c r="H396" s="2" t="str">
        <f t="shared" si="12"/>
        <v>2021-Q3</v>
      </c>
      <c r="I396" s="2" t="str">
        <f t="shared" si="13"/>
        <v>No</v>
      </c>
    </row>
    <row r="397" spans="1:9" ht="15" customHeight="1" x14ac:dyDescent="0.35">
      <c r="A397" s="2" t="s">
        <v>327</v>
      </c>
      <c r="B397" s="2" t="s">
        <v>29</v>
      </c>
      <c r="C397" s="2" t="s">
        <v>25</v>
      </c>
      <c r="D397" s="2" t="s">
        <v>12</v>
      </c>
      <c r="E397" s="2">
        <v>2021</v>
      </c>
      <c r="F397" s="2" t="s">
        <v>13</v>
      </c>
      <c r="G397" s="3">
        <v>934991</v>
      </c>
      <c r="H397" s="2" t="str">
        <f t="shared" si="12"/>
        <v>2021-Q3</v>
      </c>
      <c r="I397" s="2" t="str">
        <f t="shared" si="13"/>
        <v>No</v>
      </c>
    </row>
    <row r="398" spans="1:9" ht="15" customHeight="1" x14ac:dyDescent="0.35">
      <c r="A398" s="2" t="s">
        <v>328</v>
      </c>
      <c r="B398" s="2" t="s">
        <v>29</v>
      </c>
      <c r="C398" s="2" t="s">
        <v>25</v>
      </c>
      <c r="D398" s="2" t="s">
        <v>22</v>
      </c>
      <c r="E398" s="2">
        <v>2021</v>
      </c>
      <c r="F398" s="2" t="s">
        <v>13</v>
      </c>
      <c r="G398" s="3">
        <v>1527508</v>
      </c>
      <c r="H398" s="2" t="str">
        <f t="shared" si="12"/>
        <v>2021-Q3</v>
      </c>
      <c r="I398" s="2" t="str">
        <f t="shared" si="13"/>
        <v>No</v>
      </c>
    </row>
    <row r="399" spans="1:9" ht="15" customHeight="1" x14ac:dyDescent="0.35">
      <c r="A399" s="2" t="s">
        <v>328</v>
      </c>
      <c r="B399" s="2" t="s">
        <v>29</v>
      </c>
      <c r="C399" s="2" t="s">
        <v>25</v>
      </c>
      <c r="D399" s="2" t="s">
        <v>22</v>
      </c>
      <c r="E399" s="2">
        <v>2021</v>
      </c>
      <c r="F399" s="2" t="s">
        <v>13</v>
      </c>
      <c r="G399" s="3">
        <v>639256</v>
      </c>
      <c r="H399" s="2" t="str">
        <f t="shared" si="12"/>
        <v>2021-Q3</v>
      </c>
      <c r="I399" s="2" t="str">
        <f t="shared" si="13"/>
        <v>No</v>
      </c>
    </row>
    <row r="400" spans="1:9" ht="15" customHeight="1" x14ac:dyDescent="0.35">
      <c r="A400" s="2" t="s">
        <v>329</v>
      </c>
      <c r="B400" s="2" t="s">
        <v>29</v>
      </c>
      <c r="C400" s="2" t="s">
        <v>21</v>
      </c>
      <c r="D400" s="2" t="s">
        <v>22</v>
      </c>
      <c r="E400" s="2">
        <v>2021</v>
      </c>
      <c r="F400" s="2" t="s">
        <v>13</v>
      </c>
      <c r="G400" s="3">
        <v>142216</v>
      </c>
      <c r="H400" s="2" t="str">
        <f t="shared" si="12"/>
        <v>2021-Q3</v>
      </c>
      <c r="I400" s="2" t="str">
        <f t="shared" si="13"/>
        <v>No</v>
      </c>
    </row>
    <row r="401" spans="1:9" ht="15" customHeight="1" x14ac:dyDescent="0.35">
      <c r="A401" s="2" t="s">
        <v>330</v>
      </c>
      <c r="B401" s="2" t="s">
        <v>29</v>
      </c>
      <c r="C401" s="2" t="s">
        <v>25</v>
      </c>
      <c r="D401" s="2" t="s">
        <v>22</v>
      </c>
      <c r="E401" s="2">
        <v>2021</v>
      </c>
      <c r="F401" s="2" t="s">
        <v>13</v>
      </c>
      <c r="G401" s="3">
        <v>738240</v>
      </c>
      <c r="H401" s="2" t="str">
        <f t="shared" si="12"/>
        <v>2021-Q3</v>
      </c>
      <c r="I401" s="2" t="str">
        <f t="shared" si="13"/>
        <v>No</v>
      </c>
    </row>
    <row r="402" spans="1:9" ht="15" customHeight="1" x14ac:dyDescent="0.35">
      <c r="A402" s="2" t="s">
        <v>331</v>
      </c>
      <c r="B402" s="2" t="s">
        <v>29</v>
      </c>
      <c r="C402" s="2" t="s">
        <v>21</v>
      </c>
      <c r="D402" s="2" t="s">
        <v>22</v>
      </c>
      <c r="E402" s="2">
        <v>2021</v>
      </c>
      <c r="F402" s="2" t="s">
        <v>13</v>
      </c>
      <c r="G402" s="3">
        <v>706781</v>
      </c>
      <c r="H402" s="2" t="str">
        <f t="shared" si="12"/>
        <v>2021-Q3</v>
      </c>
      <c r="I402" s="2" t="str">
        <f t="shared" si="13"/>
        <v>No</v>
      </c>
    </row>
    <row r="403" spans="1:9" ht="15" customHeight="1" x14ac:dyDescent="0.35">
      <c r="A403" s="2" t="s">
        <v>332</v>
      </c>
      <c r="B403" s="2" t="s">
        <v>29</v>
      </c>
      <c r="C403" s="2" t="s">
        <v>11</v>
      </c>
      <c r="D403" s="2" t="s">
        <v>22</v>
      </c>
      <c r="E403" s="2">
        <v>2021</v>
      </c>
      <c r="F403" s="2" t="s">
        <v>13</v>
      </c>
      <c r="G403" s="3">
        <v>458322</v>
      </c>
      <c r="H403" s="2" t="str">
        <f t="shared" si="12"/>
        <v>2021-Q3</v>
      </c>
      <c r="I403" s="2" t="str">
        <f t="shared" si="13"/>
        <v>No</v>
      </c>
    </row>
    <row r="404" spans="1:9" ht="15" customHeight="1" x14ac:dyDescent="0.35">
      <c r="A404" s="2" t="s">
        <v>333</v>
      </c>
      <c r="B404" s="2" t="s">
        <v>29</v>
      </c>
      <c r="C404" s="2" t="s">
        <v>11</v>
      </c>
      <c r="D404" s="2" t="s">
        <v>22</v>
      </c>
      <c r="E404" s="2">
        <v>2021</v>
      </c>
      <c r="F404" s="2" t="s">
        <v>13</v>
      </c>
      <c r="G404" s="3">
        <v>1391712</v>
      </c>
      <c r="H404" s="2" t="str">
        <f t="shared" si="12"/>
        <v>2021-Q3</v>
      </c>
      <c r="I404" s="2" t="str">
        <f t="shared" si="13"/>
        <v>No</v>
      </c>
    </row>
    <row r="405" spans="1:9" ht="15" customHeight="1" x14ac:dyDescent="0.35">
      <c r="A405" s="2" t="s">
        <v>333</v>
      </c>
      <c r="B405" s="2" t="s">
        <v>29</v>
      </c>
      <c r="C405" s="2" t="s">
        <v>11</v>
      </c>
      <c r="D405" s="2" t="s">
        <v>22</v>
      </c>
      <c r="E405" s="2">
        <v>2021</v>
      </c>
      <c r="F405" s="2" t="s">
        <v>13</v>
      </c>
      <c r="G405" s="3">
        <v>692970</v>
      </c>
      <c r="H405" s="2" t="str">
        <f t="shared" si="12"/>
        <v>2021-Q3</v>
      </c>
      <c r="I405" s="2" t="str">
        <f t="shared" si="13"/>
        <v>No</v>
      </c>
    </row>
    <row r="406" spans="1:9" ht="15" customHeight="1" x14ac:dyDescent="0.35">
      <c r="A406" s="2" t="s">
        <v>333</v>
      </c>
      <c r="B406" s="2" t="s">
        <v>29</v>
      </c>
      <c r="C406" s="2" t="s">
        <v>11</v>
      </c>
      <c r="D406" s="2" t="s">
        <v>22</v>
      </c>
      <c r="E406" s="2">
        <v>2021</v>
      </c>
      <c r="F406" s="2" t="s">
        <v>13</v>
      </c>
      <c r="G406" s="3">
        <v>308741</v>
      </c>
      <c r="H406" s="2" t="str">
        <f t="shared" si="12"/>
        <v>2021-Q3</v>
      </c>
      <c r="I406" s="2" t="str">
        <f t="shared" si="13"/>
        <v>No</v>
      </c>
    </row>
    <row r="407" spans="1:9" ht="15" customHeight="1" x14ac:dyDescent="0.35">
      <c r="A407" s="2" t="s">
        <v>334</v>
      </c>
      <c r="B407" s="2" t="s">
        <v>29</v>
      </c>
      <c r="C407" s="2" t="s">
        <v>25</v>
      </c>
      <c r="D407" s="2" t="s">
        <v>22</v>
      </c>
      <c r="E407" s="2">
        <v>2021</v>
      </c>
      <c r="F407" s="2" t="s">
        <v>13</v>
      </c>
      <c r="G407" s="3">
        <v>1365868</v>
      </c>
      <c r="H407" s="2" t="str">
        <f t="shared" si="12"/>
        <v>2021-Q3</v>
      </c>
      <c r="I407" s="2" t="str">
        <f t="shared" si="13"/>
        <v>No</v>
      </c>
    </row>
    <row r="408" spans="1:9" ht="15" customHeight="1" x14ac:dyDescent="0.35">
      <c r="A408" s="2" t="s">
        <v>334</v>
      </c>
      <c r="B408" s="2" t="s">
        <v>29</v>
      </c>
      <c r="C408" s="2" t="s">
        <v>11</v>
      </c>
      <c r="D408" s="2" t="s">
        <v>22</v>
      </c>
      <c r="E408" s="2">
        <v>2021</v>
      </c>
      <c r="F408" s="2" t="s">
        <v>13</v>
      </c>
      <c r="G408" s="3">
        <v>1286518</v>
      </c>
      <c r="H408" s="2" t="str">
        <f t="shared" si="12"/>
        <v>2021-Q3</v>
      </c>
      <c r="I408" s="2" t="str">
        <f t="shared" si="13"/>
        <v>No</v>
      </c>
    </row>
    <row r="409" spans="1:9" ht="15" customHeight="1" x14ac:dyDescent="0.35">
      <c r="A409" s="2" t="s">
        <v>335</v>
      </c>
      <c r="B409" s="2" t="s">
        <v>29</v>
      </c>
      <c r="C409" s="2" t="s">
        <v>11</v>
      </c>
      <c r="D409" s="2" t="s">
        <v>22</v>
      </c>
      <c r="E409" s="2">
        <v>2021</v>
      </c>
      <c r="F409" s="2" t="s">
        <v>13</v>
      </c>
      <c r="G409" s="3">
        <v>1716666</v>
      </c>
      <c r="H409" s="2" t="str">
        <f t="shared" si="12"/>
        <v>2021-Q3</v>
      </c>
      <c r="I409" s="2" t="str">
        <f t="shared" si="13"/>
        <v>No</v>
      </c>
    </row>
    <row r="410" spans="1:9" ht="15" customHeight="1" x14ac:dyDescent="0.35">
      <c r="A410" s="2" t="s">
        <v>336</v>
      </c>
      <c r="B410" s="2" t="s">
        <v>29</v>
      </c>
      <c r="C410" s="2" t="s">
        <v>11</v>
      </c>
      <c r="D410" s="2" t="s">
        <v>22</v>
      </c>
      <c r="E410" s="2">
        <v>2021</v>
      </c>
      <c r="F410" s="2" t="s">
        <v>13</v>
      </c>
      <c r="G410" s="3">
        <v>814289</v>
      </c>
      <c r="H410" s="2" t="str">
        <f t="shared" si="12"/>
        <v>2021-Q3</v>
      </c>
      <c r="I410" s="2" t="str">
        <f t="shared" si="13"/>
        <v>No</v>
      </c>
    </row>
    <row r="411" spans="1:9" ht="15" customHeight="1" x14ac:dyDescent="0.35">
      <c r="A411" s="2" t="s">
        <v>336</v>
      </c>
      <c r="B411" s="2" t="s">
        <v>29</v>
      </c>
      <c r="C411" s="2" t="s">
        <v>16</v>
      </c>
      <c r="D411" s="2" t="s">
        <v>22</v>
      </c>
      <c r="E411" s="2">
        <v>2021</v>
      </c>
      <c r="F411" s="2" t="s">
        <v>13</v>
      </c>
      <c r="G411" s="3">
        <v>1030173</v>
      </c>
      <c r="H411" s="2" t="str">
        <f t="shared" si="12"/>
        <v>2021-Q3</v>
      </c>
      <c r="I411" s="2" t="str">
        <f t="shared" si="13"/>
        <v>No</v>
      </c>
    </row>
    <row r="412" spans="1:9" ht="15" customHeight="1" x14ac:dyDescent="0.35">
      <c r="A412" s="2" t="s">
        <v>337</v>
      </c>
      <c r="B412" s="2" t="s">
        <v>29</v>
      </c>
      <c r="C412" s="2" t="s">
        <v>16</v>
      </c>
      <c r="D412" s="2" t="s">
        <v>22</v>
      </c>
      <c r="E412" s="2">
        <v>2021</v>
      </c>
      <c r="F412" s="2" t="s">
        <v>13</v>
      </c>
      <c r="G412" s="3">
        <v>1380984</v>
      </c>
      <c r="H412" s="2" t="str">
        <f t="shared" si="12"/>
        <v>2021-Q3</v>
      </c>
      <c r="I412" s="2" t="str">
        <f t="shared" si="13"/>
        <v>No</v>
      </c>
    </row>
    <row r="413" spans="1:9" ht="15" customHeight="1" x14ac:dyDescent="0.35">
      <c r="A413" s="2" t="s">
        <v>338</v>
      </c>
      <c r="B413" s="2" t="s">
        <v>29</v>
      </c>
      <c r="C413" s="2" t="s">
        <v>11</v>
      </c>
      <c r="D413" s="2" t="s">
        <v>22</v>
      </c>
      <c r="E413" s="2">
        <v>2021</v>
      </c>
      <c r="F413" s="2" t="s">
        <v>13</v>
      </c>
      <c r="G413" s="3">
        <v>154041</v>
      </c>
      <c r="H413" s="2" t="str">
        <f t="shared" si="12"/>
        <v>2021-Q3</v>
      </c>
      <c r="I413" s="2" t="str">
        <f t="shared" si="13"/>
        <v>No</v>
      </c>
    </row>
    <row r="414" spans="1:9" ht="15" customHeight="1" x14ac:dyDescent="0.35">
      <c r="A414" s="2" t="s">
        <v>339</v>
      </c>
      <c r="B414" s="2" t="s">
        <v>29</v>
      </c>
      <c r="C414" s="2" t="s">
        <v>25</v>
      </c>
      <c r="D414" s="2" t="s">
        <v>22</v>
      </c>
      <c r="E414" s="2">
        <v>2021</v>
      </c>
      <c r="F414" s="2" t="s">
        <v>13</v>
      </c>
      <c r="G414" s="3">
        <v>1663102</v>
      </c>
      <c r="H414" s="2" t="str">
        <f t="shared" si="12"/>
        <v>2021-Q3</v>
      </c>
      <c r="I414" s="2" t="str">
        <f t="shared" si="13"/>
        <v>No</v>
      </c>
    </row>
    <row r="415" spans="1:9" ht="15" customHeight="1" x14ac:dyDescent="0.35">
      <c r="A415" s="2" t="s">
        <v>340</v>
      </c>
      <c r="B415" s="2" t="s">
        <v>29</v>
      </c>
      <c r="C415" s="2" t="s">
        <v>11</v>
      </c>
      <c r="D415" s="2" t="s">
        <v>22</v>
      </c>
      <c r="E415" s="2">
        <v>2021</v>
      </c>
      <c r="F415" s="2" t="s">
        <v>13</v>
      </c>
      <c r="G415" s="3">
        <v>375259</v>
      </c>
      <c r="H415" s="2" t="str">
        <f t="shared" si="12"/>
        <v>2021-Q3</v>
      </c>
      <c r="I415" s="2" t="str">
        <f t="shared" si="13"/>
        <v>No</v>
      </c>
    </row>
    <row r="416" spans="1:9" ht="15" customHeight="1" x14ac:dyDescent="0.35">
      <c r="A416" s="2" t="s">
        <v>341</v>
      </c>
      <c r="B416" s="2" t="s">
        <v>29</v>
      </c>
      <c r="C416" s="2" t="s">
        <v>25</v>
      </c>
      <c r="D416" s="2" t="s">
        <v>22</v>
      </c>
      <c r="E416" s="2">
        <v>2021</v>
      </c>
      <c r="F416" s="2" t="s">
        <v>13</v>
      </c>
      <c r="G416" s="3">
        <v>278132</v>
      </c>
      <c r="H416" s="2" t="str">
        <f t="shared" si="12"/>
        <v>2021-Q3</v>
      </c>
      <c r="I416" s="2" t="str">
        <f t="shared" si="13"/>
        <v>No</v>
      </c>
    </row>
    <row r="417" spans="1:9" ht="15" customHeight="1" x14ac:dyDescent="0.35">
      <c r="A417" s="2" t="s">
        <v>342</v>
      </c>
      <c r="B417" s="2" t="s">
        <v>29</v>
      </c>
      <c r="C417" s="2" t="s">
        <v>11</v>
      </c>
      <c r="D417" s="2" t="s">
        <v>22</v>
      </c>
      <c r="E417" s="2">
        <v>2021</v>
      </c>
      <c r="F417" s="2" t="s">
        <v>13</v>
      </c>
      <c r="G417" s="3">
        <v>269577</v>
      </c>
      <c r="H417" s="2" t="str">
        <f t="shared" si="12"/>
        <v>2021-Q3</v>
      </c>
      <c r="I417" s="2" t="str">
        <f t="shared" si="13"/>
        <v>No</v>
      </c>
    </row>
    <row r="418" spans="1:9" ht="15" customHeight="1" x14ac:dyDescent="0.35">
      <c r="A418" s="2" t="s">
        <v>343</v>
      </c>
      <c r="B418" s="2" t="s">
        <v>29</v>
      </c>
      <c r="C418" s="2" t="s">
        <v>25</v>
      </c>
      <c r="D418" s="2" t="s">
        <v>22</v>
      </c>
      <c r="E418" s="2">
        <v>2021</v>
      </c>
      <c r="F418" s="2" t="s">
        <v>13</v>
      </c>
      <c r="G418" s="3">
        <v>1321245</v>
      </c>
      <c r="H418" s="2" t="str">
        <f t="shared" si="12"/>
        <v>2021-Q3</v>
      </c>
      <c r="I418" s="2" t="str">
        <f t="shared" si="13"/>
        <v>No</v>
      </c>
    </row>
    <row r="419" spans="1:9" ht="15" customHeight="1" x14ac:dyDescent="0.35">
      <c r="A419" s="2" t="s">
        <v>343</v>
      </c>
      <c r="B419" s="2" t="s">
        <v>29</v>
      </c>
      <c r="C419" s="2" t="s">
        <v>11</v>
      </c>
      <c r="D419" s="2" t="s">
        <v>22</v>
      </c>
      <c r="E419" s="2">
        <v>2021</v>
      </c>
      <c r="F419" s="2" t="s">
        <v>13</v>
      </c>
      <c r="G419" s="3">
        <v>1615558</v>
      </c>
      <c r="H419" s="2" t="str">
        <f t="shared" si="12"/>
        <v>2021-Q3</v>
      </c>
      <c r="I419" s="2" t="str">
        <f t="shared" si="13"/>
        <v>No</v>
      </c>
    </row>
    <row r="420" spans="1:9" ht="15" customHeight="1" x14ac:dyDescent="0.35">
      <c r="A420" s="2" t="s">
        <v>343</v>
      </c>
      <c r="B420" s="2" t="s">
        <v>29</v>
      </c>
      <c r="C420" s="2" t="s">
        <v>25</v>
      </c>
      <c r="D420" s="2" t="s">
        <v>22</v>
      </c>
      <c r="E420" s="2">
        <v>2021</v>
      </c>
      <c r="F420" s="2" t="s">
        <v>13</v>
      </c>
      <c r="G420" s="3">
        <v>310439</v>
      </c>
      <c r="H420" s="2" t="str">
        <f t="shared" si="12"/>
        <v>2021-Q3</v>
      </c>
      <c r="I420" s="2" t="str">
        <f t="shared" si="13"/>
        <v>No</v>
      </c>
    </row>
    <row r="421" spans="1:9" ht="15" customHeight="1" x14ac:dyDescent="0.35">
      <c r="A421" s="2" t="s">
        <v>344</v>
      </c>
      <c r="B421" s="2" t="s">
        <v>29</v>
      </c>
      <c r="C421" s="2" t="s">
        <v>16</v>
      </c>
      <c r="D421" s="2" t="s">
        <v>22</v>
      </c>
      <c r="E421" s="2">
        <v>2021</v>
      </c>
      <c r="F421" s="2" t="s">
        <v>13</v>
      </c>
      <c r="G421" s="3">
        <v>1497241</v>
      </c>
      <c r="H421" s="2" t="str">
        <f t="shared" si="12"/>
        <v>2021-Q3</v>
      </c>
      <c r="I421" s="2" t="str">
        <f t="shared" si="13"/>
        <v>No</v>
      </c>
    </row>
    <row r="422" spans="1:9" ht="15" customHeight="1" x14ac:dyDescent="0.35">
      <c r="A422" s="2" t="s">
        <v>345</v>
      </c>
      <c r="B422" s="2" t="s">
        <v>29</v>
      </c>
      <c r="C422" s="2" t="s">
        <v>16</v>
      </c>
      <c r="D422" s="2" t="s">
        <v>22</v>
      </c>
      <c r="E422" s="2">
        <v>2021</v>
      </c>
      <c r="F422" s="2" t="s">
        <v>13</v>
      </c>
      <c r="G422" s="3">
        <v>556276</v>
      </c>
      <c r="H422" s="2" t="str">
        <f t="shared" si="12"/>
        <v>2021-Q3</v>
      </c>
      <c r="I422" s="2" t="str">
        <f t="shared" si="13"/>
        <v>No</v>
      </c>
    </row>
    <row r="423" spans="1:9" ht="15" customHeight="1" x14ac:dyDescent="0.35">
      <c r="A423" s="2" t="s">
        <v>346</v>
      </c>
      <c r="B423" s="2" t="s">
        <v>29</v>
      </c>
      <c r="C423" s="2" t="s">
        <v>16</v>
      </c>
      <c r="D423" s="2" t="s">
        <v>31</v>
      </c>
      <c r="E423" s="2">
        <v>2021</v>
      </c>
      <c r="F423" s="2" t="s">
        <v>13</v>
      </c>
      <c r="G423" s="3">
        <v>1532238</v>
      </c>
      <c r="H423" s="2" t="str">
        <f t="shared" si="12"/>
        <v>2021-Q3</v>
      </c>
      <c r="I423" s="2" t="str">
        <f t="shared" si="13"/>
        <v>No</v>
      </c>
    </row>
    <row r="424" spans="1:9" ht="15" customHeight="1" x14ac:dyDescent="0.35">
      <c r="A424" s="2" t="s">
        <v>347</v>
      </c>
      <c r="B424" s="2" t="s">
        <v>29</v>
      </c>
      <c r="C424" s="2" t="s">
        <v>16</v>
      </c>
      <c r="D424" s="2" t="s">
        <v>31</v>
      </c>
      <c r="E424" s="2">
        <v>2021</v>
      </c>
      <c r="F424" s="2" t="s">
        <v>13</v>
      </c>
      <c r="G424" s="3">
        <v>420324</v>
      </c>
      <c r="H424" s="2" t="str">
        <f t="shared" si="12"/>
        <v>2021-Q3</v>
      </c>
      <c r="I424" s="2" t="str">
        <f t="shared" si="13"/>
        <v>No</v>
      </c>
    </row>
    <row r="425" spans="1:9" ht="15" customHeight="1" x14ac:dyDescent="0.35">
      <c r="A425" s="2" t="s">
        <v>348</v>
      </c>
      <c r="B425" s="2" t="s">
        <v>29</v>
      </c>
      <c r="C425" s="2" t="s">
        <v>16</v>
      </c>
      <c r="D425" s="2" t="s">
        <v>31</v>
      </c>
      <c r="E425" s="2">
        <v>2021</v>
      </c>
      <c r="F425" s="2" t="s">
        <v>13</v>
      </c>
      <c r="G425" s="3">
        <v>532194</v>
      </c>
      <c r="H425" s="2" t="str">
        <f t="shared" si="12"/>
        <v>2021-Q3</v>
      </c>
      <c r="I425" s="2" t="str">
        <f t="shared" si="13"/>
        <v>No</v>
      </c>
    </row>
    <row r="426" spans="1:9" ht="15" customHeight="1" x14ac:dyDescent="0.35">
      <c r="A426" s="2" t="s">
        <v>348</v>
      </c>
      <c r="B426" s="2" t="s">
        <v>29</v>
      </c>
      <c r="C426" s="2" t="s">
        <v>16</v>
      </c>
      <c r="D426" s="2" t="s">
        <v>31</v>
      </c>
      <c r="E426" s="2">
        <v>2021</v>
      </c>
      <c r="F426" s="2" t="s">
        <v>13</v>
      </c>
      <c r="G426" s="3">
        <v>1757686</v>
      </c>
      <c r="H426" s="2" t="str">
        <f t="shared" si="12"/>
        <v>2021-Q3</v>
      </c>
      <c r="I426" s="2" t="str">
        <f t="shared" si="13"/>
        <v>No</v>
      </c>
    </row>
    <row r="427" spans="1:9" ht="15" customHeight="1" x14ac:dyDescent="0.35">
      <c r="A427" s="2" t="s">
        <v>349</v>
      </c>
      <c r="B427" s="2" t="s">
        <v>29</v>
      </c>
      <c r="C427" s="2" t="s">
        <v>16</v>
      </c>
      <c r="D427" s="2" t="s">
        <v>31</v>
      </c>
      <c r="E427" s="2">
        <v>2021</v>
      </c>
      <c r="F427" s="2" t="s">
        <v>13</v>
      </c>
      <c r="G427" s="3">
        <v>1557016</v>
      </c>
      <c r="H427" s="2" t="str">
        <f t="shared" si="12"/>
        <v>2021-Q3</v>
      </c>
      <c r="I427" s="2" t="str">
        <f t="shared" si="13"/>
        <v>No</v>
      </c>
    </row>
    <row r="428" spans="1:9" ht="15" customHeight="1" x14ac:dyDescent="0.35">
      <c r="A428" s="2" t="s">
        <v>349</v>
      </c>
      <c r="B428" s="2" t="s">
        <v>29</v>
      </c>
      <c r="C428" s="2" t="s">
        <v>21</v>
      </c>
      <c r="D428" s="2" t="s">
        <v>31</v>
      </c>
      <c r="E428" s="2">
        <v>2021</v>
      </c>
      <c r="F428" s="2" t="s">
        <v>13</v>
      </c>
      <c r="G428" s="3">
        <v>531649</v>
      </c>
      <c r="H428" s="2" t="str">
        <f t="shared" si="12"/>
        <v>2021-Q3</v>
      </c>
      <c r="I428" s="2" t="str">
        <f t="shared" si="13"/>
        <v>No</v>
      </c>
    </row>
    <row r="429" spans="1:9" ht="15" customHeight="1" x14ac:dyDescent="0.35">
      <c r="A429" s="2" t="s">
        <v>350</v>
      </c>
      <c r="B429" s="2" t="s">
        <v>29</v>
      </c>
      <c r="C429" s="2" t="s">
        <v>21</v>
      </c>
      <c r="D429" s="2" t="s">
        <v>31</v>
      </c>
      <c r="E429" s="2">
        <v>2021</v>
      </c>
      <c r="F429" s="2" t="s">
        <v>13</v>
      </c>
      <c r="G429" s="3">
        <v>175455</v>
      </c>
      <c r="H429" s="2" t="str">
        <f t="shared" si="12"/>
        <v>2021-Q3</v>
      </c>
      <c r="I429" s="2" t="str">
        <f t="shared" si="13"/>
        <v>No</v>
      </c>
    </row>
    <row r="430" spans="1:9" ht="15" customHeight="1" x14ac:dyDescent="0.35">
      <c r="A430" s="2" t="s">
        <v>350</v>
      </c>
      <c r="B430" s="2" t="s">
        <v>29</v>
      </c>
      <c r="C430" s="2" t="s">
        <v>21</v>
      </c>
      <c r="D430" s="2" t="s">
        <v>31</v>
      </c>
      <c r="E430" s="2">
        <v>2021</v>
      </c>
      <c r="F430" s="2" t="s">
        <v>13</v>
      </c>
      <c r="G430" s="3">
        <v>1100820</v>
      </c>
      <c r="H430" s="2" t="str">
        <f t="shared" si="12"/>
        <v>2021-Q3</v>
      </c>
      <c r="I430" s="2" t="str">
        <f t="shared" si="13"/>
        <v>No</v>
      </c>
    </row>
    <row r="431" spans="1:9" ht="15" customHeight="1" x14ac:dyDescent="0.35">
      <c r="A431" s="2" t="s">
        <v>351</v>
      </c>
      <c r="B431" s="2" t="s">
        <v>29</v>
      </c>
      <c r="C431" s="2" t="s">
        <v>21</v>
      </c>
      <c r="D431" s="2" t="s">
        <v>31</v>
      </c>
      <c r="E431" s="2">
        <v>2021</v>
      </c>
      <c r="F431" s="2" t="s">
        <v>13</v>
      </c>
      <c r="G431" s="3">
        <v>1655034</v>
      </c>
      <c r="H431" s="2" t="str">
        <f t="shared" si="12"/>
        <v>2021-Q3</v>
      </c>
      <c r="I431" s="2" t="str">
        <f t="shared" si="13"/>
        <v>No</v>
      </c>
    </row>
    <row r="432" spans="1:9" ht="15" customHeight="1" x14ac:dyDescent="0.35">
      <c r="A432" s="2" t="s">
        <v>352</v>
      </c>
      <c r="B432" s="2" t="s">
        <v>29</v>
      </c>
      <c r="C432" s="2" t="s">
        <v>21</v>
      </c>
      <c r="D432" s="2" t="s">
        <v>31</v>
      </c>
      <c r="E432" s="2">
        <v>2021</v>
      </c>
      <c r="F432" s="2" t="s">
        <v>13</v>
      </c>
      <c r="G432" s="3">
        <v>1187393</v>
      </c>
      <c r="H432" s="2" t="str">
        <f t="shared" si="12"/>
        <v>2021-Q3</v>
      </c>
      <c r="I432" s="2" t="str">
        <f t="shared" si="13"/>
        <v>No</v>
      </c>
    </row>
    <row r="433" spans="1:9" ht="15" customHeight="1" x14ac:dyDescent="0.35">
      <c r="A433" s="2" t="s">
        <v>353</v>
      </c>
      <c r="B433" s="2" t="s">
        <v>29</v>
      </c>
      <c r="C433" s="2" t="s">
        <v>21</v>
      </c>
      <c r="D433" s="2" t="s">
        <v>31</v>
      </c>
      <c r="E433" s="2">
        <v>2021</v>
      </c>
      <c r="F433" s="2" t="s">
        <v>13</v>
      </c>
      <c r="G433" s="3">
        <v>762023</v>
      </c>
      <c r="H433" s="2" t="str">
        <f t="shared" si="12"/>
        <v>2021-Q3</v>
      </c>
      <c r="I433" s="2" t="str">
        <f t="shared" si="13"/>
        <v>No</v>
      </c>
    </row>
    <row r="434" spans="1:9" ht="15" customHeight="1" x14ac:dyDescent="0.35">
      <c r="A434" s="2" t="s">
        <v>354</v>
      </c>
      <c r="B434" s="2" t="s">
        <v>29</v>
      </c>
      <c r="C434" s="2" t="s">
        <v>21</v>
      </c>
      <c r="D434" s="2" t="s">
        <v>31</v>
      </c>
      <c r="E434" s="2">
        <v>2021</v>
      </c>
      <c r="F434" s="2" t="s">
        <v>13</v>
      </c>
      <c r="G434" s="3">
        <v>1132099</v>
      </c>
      <c r="H434" s="2" t="str">
        <f t="shared" si="12"/>
        <v>2021-Q3</v>
      </c>
      <c r="I434" s="2" t="str">
        <f t="shared" si="13"/>
        <v>No</v>
      </c>
    </row>
    <row r="435" spans="1:9" ht="15" customHeight="1" x14ac:dyDescent="0.35">
      <c r="A435" s="2" t="s">
        <v>355</v>
      </c>
      <c r="B435" s="2" t="s">
        <v>29</v>
      </c>
      <c r="C435" s="2" t="s">
        <v>21</v>
      </c>
      <c r="D435" s="2" t="s">
        <v>31</v>
      </c>
      <c r="E435" s="2">
        <v>2021</v>
      </c>
      <c r="F435" s="2" t="s">
        <v>13</v>
      </c>
      <c r="G435" s="3">
        <v>492619</v>
      </c>
      <c r="H435" s="2" t="str">
        <f t="shared" si="12"/>
        <v>2021-Q3</v>
      </c>
      <c r="I435" s="2" t="str">
        <f t="shared" si="13"/>
        <v>No</v>
      </c>
    </row>
    <row r="436" spans="1:9" ht="15" customHeight="1" x14ac:dyDescent="0.35">
      <c r="A436" s="2" t="s">
        <v>356</v>
      </c>
      <c r="B436" s="2" t="s">
        <v>29</v>
      </c>
      <c r="C436" s="2" t="s">
        <v>21</v>
      </c>
      <c r="D436" s="2" t="s">
        <v>31</v>
      </c>
      <c r="E436" s="2">
        <v>2021</v>
      </c>
      <c r="F436" s="2" t="s">
        <v>13</v>
      </c>
      <c r="G436" s="3">
        <v>415572</v>
      </c>
      <c r="H436" s="2" t="str">
        <f t="shared" si="12"/>
        <v>2021-Q3</v>
      </c>
      <c r="I436" s="2" t="str">
        <f t="shared" si="13"/>
        <v>No</v>
      </c>
    </row>
    <row r="437" spans="1:9" ht="15" customHeight="1" x14ac:dyDescent="0.35">
      <c r="A437" s="2" t="s">
        <v>357</v>
      </c>
      <c r="B437" s="2" t="s">
        <v>29</v>
      </c>
      <c r="C437" s="2" t="s">
        <v>16</v>
      </c>
      <c r="D437" s="2" t="s">
        <v>34</v>
      </c>
      <c r="E437" s="2">
        <v>2021</v>
      </c>
      <c r="F437" s="2" t="s">
        <v>35</v>
      </c>
      <c r="G437" s="3">
        <v>1624960</v>
      </c>
      <c r="H437" s="2" t="str">
        <f t="shared" si="12"/>
        <v>2021-Q4</v>
      </c>
      <c r="I437" s="2" t="str">
        <f t="shared" si="13"/>
        <v>No</v>
      </c>
    </row>
    <row r="438" spans="1:9" ht="15" customHeight="1" x14ac:dyDescent="0.35">
      <c r="A438" s="2" t="s">
        <v>358</v>
      </c>
      <c r="B438" s="2" t="s">
        <v>29</v>
      </c>
      <c r="C438" s="2" t="s">
        <v>16</v>
      </c>
      <c r="D438" s="2" t="s">
        <v>34</v>
      </c>
      <c r="E438" s="2">
        <v>2021</v>
      </c>
      <c r="F438" s="2" t="s">
        <v>35</v>
      </c>
      <c r="G438" s="3">
        <v>1706175</v>
      </c>
      <c r="H438" s="2" t="str">
        <f t="shared" si="12"/>
        <v>2021-Q4</v>
      </c>
      <c r="I438" s="2" t="str">
        <f t="shared" si="13"/>
        <v>No</v>
      </c>
    </row>
    <row r="439" spans="1:9" ht="15" customHeight="1" x14ac:dyDescent="0.35">
      <c r="A439" s="2" t="s">
        <v>359</v>
      </c>
      <c r="B439" s="2" t="s">
        <v>29</v>
      </c>
      <c r="C439" s="2" t="s">
        <v>16</v>
      </c>
      <c r="D439" s="2" t="s">
        <v>34</v>
      </c>
      <c r="E439" s="2">
        <v>2021</v>
      </c>
      <c r="F439" s="2" t="s">
        <v>35</v>
      </c>
      <c r="G439" s="3">
        <v>1863812</v>
      </c>
      <c r="H439" s="2" t="str">
        <f t="shared" si="12"/>
        <v>2021-Q4</v>
      </c>
      <c r="I439" s="2" t="str">
        <f t="shared" si="13"/>
        <v>No</v>
      </c>
    </row>
    <row r="440" spans="1:9" ht="15" customHeight="1" x14ac:dyDescent="0.35">
      <c r="A440" s="2" t="s">
        <v>360</v>
      </c>
      <c r="B440" s="2" t="s">
        <v>29</v>
      </c>
      <c r="C440" s="2" t="s">
        <v>16</v>
      </c>
      <c r="D440" s="2" t="s">
        <v>34</v>
      </c>
      <c r="E440" s="2">
        <v>2021</v>
      </c>
      <c r="F440" s="2" t="s">
        <v>35</v>
      </c>
      <c r="G440" s="3">
        <v>1305768</v>
      </c>
      <c r="H440" s="2" t="str">
        <f t="shared" si="12"/>
        <v>2021-Q4</v>
      </c>
      <c r="I440" s="2" t="str">
        <f t="shared" si="13"/>
        <v>No</v>
      </c>
    </row>
    <row r="441" spans="1:9" ht="15" customHeight="1" x14ac:dyDescent="0.35">
      <c r="A441" s="2" t="s">
        <v>361</v>
      </c>
      <c r="B441" s="2" t="s">
        <v>29</v>
      </c>
      <c r="C441" s="2" t="s">
        <v>16</v>
      </c>
      <c r="D441" s="2" t="s">
        <v>34</v>
      </c>
      <c r="E441" s="2">
        <v>2021</v>
      </c>
      <c r="F441" s="2" t="s">
        <v>35</v>
      </c>
      <c r="G441" s="3">
        <v>693940</v>
      </c>
      <c r="H441" s="2" t="str">
        <f t="shared" si="12"/>
        <v>2021-Q4</v>
      </c>
      <c r="I441" s="2" t="str">
        <f t="shared" si="13"/>
        <v>No</v>
      </c>
    </row>
    <row r="442" spans="1:9" ht="15" customHeight="1" x14ac:dyDescent="0.35">
      <c r="A442" s="2" t="s">
        <v>361</v>
      </c>
      <c r="B442" s="2" t="s">
        <v>29</v>
      </c>
      <c r="C442" s="2" t="s">
        <v>16</v>
      </c>
      <c r="D442" s="2" t="s">
        <v>34</v>
      </c>
      <c r="E442" s="2">
        <v>2021</v>
      </c>
      <c r="F442" s="2" t="s">
        <v>35</v>
      </c>
      <c r="G442" s="3">
        <v>1456477</v>
      </c>
      <c r="H442" s="2" t="str">
        <f t="shared" si="12"/>
        <v>2021-Q4</v>
      </c>
      <c r="I442" s="2" t="str">
        <f t="shared" si="13"/>
        <v>No</v>
      </c>
    </row>
    <row r="443" spans="1:9" ht="15" customHeight="1" x14ac:dyDescent="0.35">
      <c r="A443" s="2" t="s">
        <v>361</v>
      </c>
      <c r="B443" s="2" t="s">
        <v>29</v>
      </c>
      <c r="C443" s="2" t="s">
        <v>16</v>
      </c>
      <c r="D443" s="2" t="s">
        <v>34</v>
      </c>
      <c r="E443" s="2">
        <v>2021</v>
      </c>
      <c r="F443" s="2" t="s">
        <v>35</v>
      </c>
      <c r="G443" s="3">
        <v>677163</v>
      </c>
      <c r="H443" s="2" t="str">
        <f t="shared" si="12"/>
        <v>2021-Q4</v>
      </c>
      <c r="I443" s="2" t="str">
        <f t="shared" si="13"/>
        <v>No</v>
      </c>
    </row>
    <row r="444" spans="1:9" ht="15" customHeight="1" x14ac:dyDescent="0.35">
      <c r="A444" s="2" t="s">
        <v>362</v>
      </c>
      <c r="B444" s="2" t="s">
        <v>29</v>
      </c>
      <c r="C444" s="2" t="s">
        <v>21</v>
      </c>
      <c r="D444" s="2" t="s">
        <v>34</v>
      </c>
      <c r="E444" s="2">
        <v>2021</v>
      </c>
      <c r="F444" s="2" t="s">
        <v>35</v>
      </c>
      <c r="G444" s="3">
        <v>192766</v>
      </c>
      <c r="H444" s="2" t="str">
        <f t="shared" si="12"/>
        <v>2021-Q4</v>
      </c>
      <c r="I444" s="2" t="str">
        <f t="shared" si="13"/>
        <v>No</v>
      </c>
    </row>
    <row r="445" spans="1:9" ht="15" customHeight="1" x14ac:dyDescent="0.35">
      <c r="A445" s="2" t="s">
        <v>362</v>
      </c>
      <c r="B445" s="2" t="s">
        <v>29</v>
      </c>
      <c r="C445" s="2" t="s">
        <v>16</v>
      </c>
      <c r="D445" s="2" t="s">
        <v>34</v>
      </c>
      <c r="E445" s="2">
        <v>2021</v>
      </c>
      <c r="F445" s="2" t="s">
        <v>35</v>
      </c>
      <c r="G445" s="3">
        <v>1501306</v>
      </c>
      <c r="H445" s="2" t="str">
        <f t="shared" si="12"/>
        <v>2021-Q4</v>
      </c>
      <c r="I445" s="2" t="str">
        <f t="shared" si="13"/>
        <v>No</v>
      </c>
    </row>
    <row r="446" spans="1:9" ht="15" customHeight="1" x14ac:dyDescent="0.35">
      <c r="A446" s="2" t="s">
        <v>363</v>
      </c>
      <c r="B446" s="2" t="s">
        <v>29</v>
      </c>
      <c r="C446" s="2" t="s">
        <v>16</v>
      </c>
      <c r="D446" s="2" t="s">
        <v>34</v>
      </c>
      <c r="E446" s="2">
        <v>2021</v>
      </c>
      <c r="F446" s="2" t="s">
        <v>35</v>
      </c>
      <c r="G446" s="3">
        <v>728012</v>
      </c>
      <c r="H446" s="2" t="str">
        <f t="shared" si="12"/>
        <v>2021-Q4</v>
      </c>
      <c r="I446" s="2" t="str">
        <f t="shared" si="13"/>
        <v>No</v>
      </c>
    </row>
    <row r="447" spans="1:9" ht="15" customHeight="1" x14ac:dyDescent="0.35">
      <c r="A447" s="2" t="s">
        <v>364</v>
      </c>
      <c r="B447" s="2" t="s">
        <v>29</v>
      </c>
      <c r="C447" s="2" t="s">
        <v>16</v>
      </c>
      <c r="D447" s="2" t="s">
        <v>34</v>
      </c>
      <c r="E447" s="2">
        <v>2021</v>
      </c>
      <c r="F447" s="2" t="s">
        <v>35</v>
      </c>
      <c r="G447" s="3">
        <v>154888</v>
      </c>
      <c r="H447" s="2" t="str">
        <f t="shared" si="12"/>
        <v>2021-Q4</v>
      </c>
      <c r="I447" s="2" t="str">
        <f t="shared" si="13"/>
        <v>No</v>
      </c>
    </row>
    <row r="448" spans="1:9" ht="15" customHeight="1" x14ac:dyDescent="0.35">
      <c r="A448" s="2" t="s">
        <v>365</v>
      </c>
      <c r="B448" s="2" t="s">
        <v>29</v>
      </c>
      <c r="C448" s="2" t="s">
        <v>21</v>
      </c>
      <c r="D448" s="2" t="s">
        <v>34</v>
      </c>
      <c r="E448" s="2">
        <v>2021</v>
      </c>
      <c r="F448" s="2" t="s">
        <v>35</v>
      </c>
      <c r="G448" s="3">
        <v>319150</v>
      </c>
      <c r="H448" s="2" t="str">
        <f t="shared" si="12"/>
        <v>2021-Q4</v>
      </c>
      <c r="I448" s="2" t="str">
        <f t="shared" si="13"/>
        <v>No</v>
      </c>
    </row>
    <row r="449" spans="1:9" ht="15" customHeight="1" x14ac:dyDescent="0.35">
      <c r="A449" s="2" t="s">
        <v>366</v>
      </c>
      <c r="B449" s="2" t="s">
        <v>29</v>
      </c>
      <c r="C449" s="2" t="s">
        <v>21</v>
      </c>
      <c r="D449" s="2" t="s">
        <v>34</v>
      </c>
      <c r="E449" s="2">
        <v>2021</v>
      </c>
      <c r="F449" s="2" t="s">
        <v>35</v>
      </c>
      <c r="G449" s="3">
        <v>1785872</v>
      </c>
      <c r="H449" s="2" t="str">
        <f t="shared" si="12"/>
        <v>2021-Q4</v>
      </c>
      <c r="I449" s="2" t="str">
        <f t="shared" si="13"/>
        <v>No</v>
      </c>
    </row>
    <row r="450" spans="1:9" ht="15" customHeight="1" x14ac:dyDescent="0.35">
      <c r="A450" s="2" t="s">
        <v>367</v>
      </c>
      <c r="B450" s="2" t="s">
        <v>29</v>
      </c>
      <c r="C450" s="2" t="s">
        <v>21</v>
      </c>
      <c r="D450" s="2" t="s">
        <v>34</v>
      </c>
      <c r="E450" s="2">
        <v>2021</v>
      </c>
      <c r="F450" s="2" t="s">
        <v>35</v>
      </c>
      <c r="G450" s="3">
        <v>491015</v>
      </c>
      <c r="H450" s="2" t="str">
        <f t="shared" ref="H450:H513" si="14">E450&amp;"-"&amp;F450</f>
        <v>2021-Q4</v>
      </c>
      <c r="I450" s="2" t="str">
        <f t="shared" ref="I450:I513" si="15">IF(E450=2019,"Yes","No")</f>
        <v>No</v>
      </c>
    </row>
    <row r="451" spans="1:9" ht="15" customHeight="1" x14ac:dyDescent="0.35">
      <c r="A451" s="2" t="s">
        <v>367</v>
      </c>
      <c r="B451" s="2" t="s">
        <v>29</v>
      </c>
      <c r="C451" s="2" t="s">
        <v>21</v>
      </c>
      <c r="D451" s="2" t="s">
        <v>34</v>
      </c>
      <c r="E451" s="2">
        <v>2021</v>
      </c>
      <c r="F451" s="2" t="s">
        <v>35</v>
      </c>
      <c r="G451" s="3">
        <v>679174</v>
      </c>
      <c r="H451" s="2" t="str">
        <f t="shared" si="14"/>
        <v>2021-Q4</v>
      </c>
      <c r="I451" s="2" t="str">
        <f t="shared" si="15"/>
        <v>No</v>
      </c>
    </row>
    <row r="452" spans="1:9" ht="15" customHeight="1" x14ac:dyDescent="0.35">
      <c r="A452" s="2" t="s">
        <v>368</v>
      </c>
      <c r="B452" s="2" t="s">
        <v>29</v>
      </c>
      <c r="C452" s="2" t="s">
        <v>21</v>
      </c>
      <c r="D452" s="2" t="s">
        <v>34</v>
      </c>
      <c r="E452" s="2">
        <v>2021</v>
      </c>
      <c r="F452" s="2" t="s">
        <v>35</v>
      </c>
      <c r="G452" s="3">
        <v>831388</v>
      </c>
      <c r="H452" s="2" t="str">
        <f t="shared" si="14"/>
        <v>2021-Q4</v>
      </c>
      <c r="I452" s="2" t="str">
        <f t="shared" si="15"/>
        <v>No</v>
      </c>
    </row>
    <row r="453" spans="1:9" ht="15" customHeight="1" x14ac:dyDescent="0.35">
      <c r="A453" s="2" t="s">
        <v>369</v>
      </c>
      <c r="B453" s="2" t="s">
        <v>29</v>
      </c>
      <c r="C453" s="2" t="s">
        <v>21</v>
      </c>
      <c r="D453" s="2" t="s">
        <v>38</v>
      </c>
      <c r="E453" s="2">
        <v>2021</v>
      </c>
      <c r="F453" s="2" t="s">
        <v>35</v>
      </c>
      <c r="G453" s="3">
        <v>1301370</v>
      </c>
      <c r="H453" s="2" t="str">
        <f t="shared" si="14"/>
        <v>2021-Q4</v>
      </c>
      <c r="I453" s="2" t="str">
        <f t="shared" si="15"/>
        <v>No</v>
      </c>
    </row>
    <row r="454" spans="1:9" ht="15" customHeight="1" x14ac:dyDescent="0.35">
      <c r="A454" s="2" t="s">
        <v>370</v>
      </c>
      <c r="B454" s="2" t="s">
        <v>29</v>
      </c>
      <c r="C454" s="2" t="s">
        <v>21</v>
      </c>
      <c r="D454" s="2" t="s">
        <v>38</v>
      </c>
      <c r="E454" s="2">
        <v>2021</v>
      </c>
      <c r="F454" s="2" t="s">
        <v>35</v>
      </c>
      <c r="G454" s="3">
        <v>956612</v>
      </c>
      <c r="H454" s="2" t="str">
        <f t="shared" si="14"/>
        <v>2021-Q4</v>
      </c>
      <c r="I454" s="2" t="str">
        <f t="shared" si="15"/>
        <v>No</v>
      </c>
    </row>
    <row r="455" spans="1:9" ht="15" customHeight="1" x14ac:dyDescent="0.35">
      <c r="A455" s="2" t="s">
        <v>371</v>
      </c>
      <c r="B455" s="2" t="s">
        <v>29</v>
      </c>
      <c r="C455" s="2" t="s">
        <v>21</v>
      </c>
      <c r="D455" s="2" t="s">
        <v>38</v>
      </c>
      <c r="E455" s="2">
        <v>2021</v>
      </c>
      <c r="F455" s="2" t="s">
        <v>35</v>
      </c>
      <c r="G455" s="3">
        <v>1566826</v>
      </c>
      <c r="H455" s="2" t="str">
        <f t="shared" si="14"/>
        <v>2021-Q4</v>
      </c>
      <c r="I455" s="2" t="str">
        <f t="shared" si="15"/>
        <v>No</v>
      </c>
    </row>
    <row r="456" spans="1:9" ht="15" customHeight="1" x14ac:dyDescent="0.35">
      <c r="A456" s="2" t="s">
        <v>372</v>
      </c>
      <c r="B456" s="2" t="s">
        <v>29</v>
      </c>
      <c r="C456" s="2" t="s">
        <v>21</v>
      </c>
      <c r="D456" s="2" t="s">
        <v>38</v>
      </c>
      <c r="E456" s="2">
        <v>2021</v>
      </c>
      <c r="F456" s="2" t="s">
        <v>35</v>
      </c>
      <c r="G456" s="3">
        <v>1871003</v>
      </c>
      <c r="H456" s="2" t="str">
        <f t="shared" si="14"/>
        <v>2021-Q4</v>
      </c>
      <c r="I456" s="2" t="str">
        <f t="shared" si="15"/>
        <v>No</v>
      </c>
    </row>
    <row r="457" spans="1:9" ht="15" customHeight="1" x14ac:dyDescent="0.35">
      <c r="A457" s="2" t="s">
        <v>373</v>
      </c>
      <c r="B457" s="2" t="s">
        <v>29</v>
      </c>
      <c r="C457" s="2" t="s">
        <v>16</v>
      </c>
      <c r="D457" s="2" t="s">
        <v>38</v>
      </c>
      <c r="E457" s="2">
        <v>2021</v>
      </c>
      <c r="F457" s="2" t="s">
        <v>35</v>
      </c>
      <c r="G457" s="3">
        <v>1538943</v>
      </c>
      <c r="H457" s="2" t="str">
        <f t="shared" si="14"/>
        <v>2021-Q4</v>
      </c>
      <c r="I457" s="2" t="str">
        <f t="shared" si="15"/>
        <v>No</v>
      </c>
    </row>
    <row r="458" spans="1:9" ht="15" customHeight="1" x14ac:dyDescent="0.35">
      <c r="A458" s="2" t="s">
        <v>374</v>
      </c>
      <c r="B458" s="2" t="s">
        <v>29</v>
      </c>
      <c r="C458" s="2" t="s">
        <v>21</v>
      </c>
      <c r="D458" s="2" t="s">
        <v>38</v>
      </c>
      <c r="E458" s="2">
        <v>2021</v>
      </c>
      <c r="F458" s="2" t="s">
        <v>35</v>
      </c>
      <c r="G458" s="3">
        <v>149317</v>
      </c>
      <c r="H458" s="2" t="str">
        <f t="shared" si="14"/>
        <v>2021-Q4</v>
      </c>
      <c r="I458" s="2" t="str">
        <f t="shared" si="15"/>
        <v>No</v>
      </c>
    </row>
    <row r="459" spans="1:9" ht="15" customHeight="1" x14ac:dyDescent="0.35">
      <c r="A459" s="2" t="s">
        <v>375</v>
      </c>
      <c r="B459" s="2" t="s">
        <v>29</v>
      </c>
      <c r="C459" s="2" t="s">
        <v>21</v>
      </c>
      <c r="D459" s="2" t="s">
        <v>38</v>
      </c>
      <c r="E459" s="2">
        <v>2021</v>
      </c>
      <c r="F459" s="2" t="s">
        <v>35</v>
      </c>
      <c r="G459" s="3">
        <v>1835071</v>
      </c>
      <c r="H459" s="2" t="str">
        <f t="shared" si="14"/>
        <v>2021-Q4</v>
      </c>
      <c r="I459" s="2" t="str">
        <f t="shared" si="15"/>
        <v>No</v>
      </c>
    </row>
    <row r="460" spans="1:9" ht="15" customHeight="1" x14ac:dyDescent="0.35">
      <c r="A460" s="2" t="s">
        <v>376</v>
      </c>
      <c r="B460" s="2" t="s">
        <v>29</v>
      </c>
      <c r="C460" s="2" t="s">
        <v>21</v>
      </c>
      <c r="D460" s="2" t="s">
        <v>38</v>
      </c>
      <c r="E460" s="2">
        <v>2021</v>
      </c>
      <c r="F460" s="2" t="s">
        <v>35</v>
      </c>
      <c r="G460" s="3">
        <v>428155</v>
      </c>
      <c r="H460" s="2" t="str">
        <f t="shared" si="14"/>
        <v>2021-Q4</v>
      </c>
      <c r="I460" s="2" t="str">
        <f t="shared" si="15"/>
        <v>No</v>
      </c>
    </row>
    <row r="461" spans="1:9" ht="15" customHeight="1" x14ac:dyDescent="0.35">
      <c r="A461" s="2" t="s">
        <v>377</v>
      </c>
      <c r="B461" s="2" t="s">
        <v>29</v>
      </c>
      <c r="C461" s="2" t="s">
        <v>25</v>
      </c>
      <c r="D461" s="2" t="s">
        <v>38</v>
      </c>
      <c r="E461" s="2">
        <v>2021</v>
      </c>
      <c r="F461" s="2" t="s">
        <v>35</v>
      </c>
      <c r="G461" s="3">
        <v>1479869</v>
      </c>
      <c r="H461" s="2" t="str">
        <f t="shared" si="14"/>
        <v>2021-Q4</v>
      </c>
      <c r="I461" s="2" t="str">
        <f t="shared" si="15"/>
        <v>No</v>
      </c>
    </row>
    <row r="462" spans="1:9" ht="15" customHeight="1" x14ac:dyDescent="0.35">
      <c r="A462" s="2" t="s">
        <v>378</v>
      </c>
      <c r="B462" s="2" t="s">
        <v>29</v>
      </c>
      <c r="C462" s="2" t="s">
        <v>25</v>
      </c>
      <c r="D462" s="2" t="s">
        <v>38</v>
      </c>
      <c r="E462" s="2">
        <v>2021</v>
      </c>
      <c r="F462" s="2" t="s">
        <v>35</v>
      </c>
      <c r="G462" s="3">
        <v>455008</v>
      </c>
      <c r="H462" s="2" t="str">
        <f t="shared" si="14"/>
        <v>2021-Q4</v>
      </c>
      <c r="I462" s="2" t="str">
        <f t="shared" si="15"/>
        <v>No</v>
      </c>
    </row>
    <row r="463" spans="1:9" ht="15" customHeight="1" x14ac:dyDescent="0.35">
      <c r="A463" s="2" t="s">
        <v>379</v>
      </c>
      <c r="B463" s="2" t="s">
        <v>29</v>
      </c>
      <c r="C463" s="2" t="s">
        <v>16</v>
      </c>
      <c r="D463" s="2" t="s">
        <v>38</v>
      </c>
      <c r="E463" s="2">
        <v>2021</v>
      </c>
      <c r="F463" s="2" t="s">
        <v>35</v>
      </c>
      <c r="G463" s="3">
        <v>857548</v>
      </c>
      <c r="H463" s="2" t="str">
        <f t="shared" si="14"/>
        <v>2021-Q4</v>
      </c>
      <c r="I463" s="2" t="str">
        <f t="shared" si="15"/>
        <v>No</v>
      </c>
    </row>
    <row r="464" spans="1:9" ht="15" customHeight="1" x14ac:dyDescent="0.35">
      <c r="A464" s="2" t="s">
        <v>380</v>
      </c>
      <c r="B464" s="2" t="s">
        <v>29</v>
      </c>
      <c r="C464" s="2" t="s">
        <v>16</v>
      </c>
      <c r="D464" s="2" t="s">
        <v>38</v>
      </c>
      <c r="E464" s="2">
        <v>2021</v>
      </c>
      <c r="F464" s="2" t="s">
        <v>35</v>
      </c>
      <c r="G464" s="3">
        <v>1698152</v>
      </c>
      <c r="H464" s="2" t="str">
        <f t="shared" si="14"/>
        <v>2021-Q4</v>
      </c>
      <c r="I464" s="2" t="str">
        <f t="shared" si="15"/>
        <v>No</v>
      </c>
    </row>
    <row r="465" spans="1:9" ht="15" customHeight="1" x14ac:dyDescent="0.35">
      <c r="A465" s="2" t="s">
        <v>381</v>
      </c>
      <c r="B465" s="2" t="s">
        <v>29</v>
      </c>
      <c r="C465" s="2" t="s">
        <v>16</v>
      </c>
      <c r="D465" s="2" t="s">
        <v>38</v>
      </c>
      <c r="E465" s="2">
        <v>2021</v>
      </c>
      <c r="F465" s="2" t="s">
        <v>35</v>
      </c>
      <c r="G465" s="3">
        <v>1538034</v>
      </c>
      <c r="H465" s="2" t="str">
        <f t="shared" si="14"/>
        <v>2021-Q4</v>
      </c>
      <c r="I465" s="2" t="str">
        <f t="shared" si="15"/>
        <v>No</v>
      </c>
    </row>
    <row r="466" spans="1:9" ht="15" customHeight="1" x14ac:dyDescent="0.35">
      <c r="A466" s="2" t="s">
        <v>382</v>
      </c>
      <c r="B466" s="2" t="s">
        <v>29</v>
      </c>
      <c r="C466" s="2" t="s">
        <v>16</v>
      </c>
      <c r="D466" s="2" t="s">
        <v>38</v>
      </c>
      <c r="E466" s="2">
        <v>2021</v>
      </c>
      <c r="F466" s="2" t="s">
        <v>35</v>
      </c>
      <c r="G466" s="3">
        <v>431646</v>
      </c>
      <c r="H466" s="2" t="str">
        <f t="shared" si="14"/>
        <v>2021-Q4</v>
      </c>
      <c r="I466" s="2" t="str">
        <f t="shared" si="15"/>
        <v>No</v>
      </c>
    </row>
    <row r="467" spans="1:9" ht="15" customHeight="1" x14ac:dyDescent="0.35">
      <c r="A467" s="2" t="s">
        <v>383</v>
      </c>
      <c r="B467" s="2" t="s">
        <v>29</v>
      </c>
      <c r="C467" s="2" t="s">
        <v>25</v>
      </c>
      <c r="D467" s="2" t="s">
        <v>38</v>
      </c>
      <c r="E467" s="2">
        <v>2021</v>
      </c>
      <c r="F467" s="2" t="s">
        <v>35</v>
      </c>
      <c r="G467" s="3">
        <v>1613353</v>
      </c>
      <c r="H467" s="2" t="str">
        <f t="shared" si="14"/>
        <v>2021-Q4</v>
      </c>
      <c r="I467" s="2" t="str">
        <f t="shared" si="15"/>
        <v>No</v>
      </c>
    </row>
    <row r="468" spans="1:9" ht="15" customHeight="1" x14ac:dyDescent="0.35">
      <c r="A468" s="2" t="s">
        <v>383</v>
      </c>
      <c r="B468" s="2" t="s">
        <v>29</v>
      </c>
      <c r="C468" s="2" t="s">
        <v>16</v>
      </c>
      <c r="D468" s="2" t="s">
        <v>38</v>
      </c>
      <c r="E468" s="2">
        <v>2021</v>
      </c>
      <c r="F468" s="2" t="s">
        <v>35</v>
      </c>
      <c r="G468" s="3">
        <v>1891735</v>
      </c>
      <c r="H468" s="2" t="str">
        <f t="shared" si="14"/>
        <v>2021-Q4</v>
      </c>
      <c r="I468" s="2" t="str">
        <f t="shared" si="15"/>
        <v>No</v>
      </c>
    </row>
    <row r="469" spans="1:9" ht="15" customHeight="1" x14ac:dyDescent="0.35">
      <c r="A469" s="2" t="s">
        <v>384</v>
      </c>
      <c r="B469" s="2" t="s">
        <v>29</v>
      </c>
      <c r="C469" s="2" t="s">
        <v>21</v>
      </c>
      <c r="D469" s="2" t="s">
        <v>38</v>
      </c>
      <c r="E469" s="2">
        <v>2021</v>
      </c>
      <c r="F469" s="2" t="s">
        <v>35</v>
      </c>
      <c r="G469" s="3">
        <v>1287970</v>
      </c>
      <c r="H469" s="2" t="str">
        <f t="shared" si="14"/>
        <v>2021-Q4</v>
      </c>
      <c r="I469" s="2" t="str">
        <f t="shared" si="15"/>
        <v>No</v>
      </c>
    </row>
    <row r="470" spans="1:9" ht="15" customHeight="1" x14ac:dyDescent="0.35">
      <c r="A470" s="2" t="s">
        <v>385</v>
      </c>
      <c r="B470" s="2" t="s">
        <v>29</v>
      </c>
      <c r="C470" s="2" t="s">
        <v>25</v>
      </c>
      <c r="D470" s="2" t="s">
        <v>38</v>
      </c>
      <c r="E470" s="2">
        <v>2021</v>
      </c>
      <c r="F470" s="2" t="s">
        <v>35</v>
      </c>
      <c r="G470" s="3">
        <v>172298</v>
      </c>
      <c r="H470" s="2" t="str">
        <f t="shared" si="14"/>
        <v>2021-Q4</v>
      </c>
      <c r="I470" s="2" t="str">
        <f t="shared" si="15"/>
        <v>No</v>
      </c>
    </row>
    <row r="471" spans="1:9" ht="15" customHeight="1" x14ac:dyDescent="0.35">
      <c r="A471" s="2" t="s">
        <v>386</v>
      </c>
      <c r="B471" s="2" t="s">
        <v>29</v>
      </c>
      <c r="C471" s="2" t="s">
        <v>25</v>
      </c>
      <c r="D471" s="2" t="s">
        <v>38</v>
      </c>
      <c r="E471" s="2">
        <v>2021</v>
      </c>
      <c r="F471" s="2" t="s">
        <v>35</v>
      </c>
      <c r="G471" s="3">
        <v>140917</v>
      </c>
      <c r="H471" s="2" t="str">
        <f t="shared" si="14"/>
        <v>2021-Q4</v>
      </c>
      <c r="I471" s="2" t="str">
        <f t="shared" si="15"/>
        <v>No</v>
      </c>
    </row>
    <row r="472" spans="1:9" ht="15" customHeight="1" x14ac:dyDescent="0.35">
      <c r="A472" s="2" t="s">
        <v>387</v>
      </c>
      <c r="B472" s="2" t="s">
        <v>29</v>
      </c>
      <c r="C472" s="2" t="s">
        <v>25</v>
      </c>
      <c r="D472" s="2" t="s">
        <v>38</v>
      </c>
      <c r="E472" s="2">
        <v>2021</v>
      </c>
      <c r="F472" s="2" t="s">
        <v>35</v>
      </c>
      <c r="G472" s="3">
        <v>651020</v>
      </c>
      <c r="H472" s="2" t="str">
        <f t="shared" si="14"/>
        <v>2021-Q4</v>
      </c>
      <c r="I472" s="2" t="str">
        <f t="shared" si="15"/>
        <v>No</v>
      </c>
    </row>
    <row r="473" spans="1:9" ht="15" customHeight="1" x14ac:dyDescent="0.35">
      <c r="A473" s="2" t="s">
        <v>387</v>
      </c>
      <c r="B473" s="2" t="s">
        <v>29</v>
      </c>
      <c r="C473" s="2" t="s">
        <v>25</v>
      </c>
      <c r="D473" s="2" t="s">
        <v>38</v>
      </c>
      <c r="E473" s="2">
        <v>2021</v>
      </c>
      <c r="F473" s="2" t="s">
        <v>35</v>
      </c>
      <c r="G473" s="3">
        <v>1707982</v>
      </c>
      <c r="H473" s="2" t="str">
        <f t="shared" si="14"/>
        <v>2021-Q4</v>
      </c>
      <c r="I473" s="2" t="str">
        <f t="shared" si="15"/>
        <v>No</v>
      </c>
    </row>
    <row r="474" spans="1:9" ht="15" customHeight="1" x14ac:dyDescent="0.35">
      <c r="A474" s="2" t="s">
        <v>388</v>
      </c>
      <c r="B474" s="2" t="s">
        <v>29</v>
      </c>
      <c r="C474" s="2" t="s">
        <v>25</v>
      </c>
      <c r="D474" s="2" t="s">
        <v>44</v>
      </c>
      <c r="E474" s="2">
        <v>2021</v>
      </c>
      <c r="F474" s="2" t="s">
        <v>35</v>
      </c>
      <c r="G474" s="3">
        <v>1093090</v>
      </c>
      <c r="H474" s="2" t="str">
        <f t="shared" si="14"/>
        <v>2021-Q4</v>
      </c>
      <c r="I474" s="2" t="str">
        <f t="shared" si="15"/>
        <v>No</v>
      </c>
    </row>
    <row r="475" spans="1:9" ht="15" customHeight="1" x14ac:dyDescent="0.35">
      <c r="A475" s="2" t="s">
        <v>389</v>
      </c>
      <c r="B475" s="2" t="s">
        <v>29</v>
      </c>
      <c r="C475" s="2" t="s">
        <v>25</v>
      </c>
      <c r="D475" s="2" t="s">
        <v>44</v>
      </c>
      <c r="E475" s="2">
        <v>2021</v>
      </c>
      <c r="F475" s="2" t="s">
        <v>35</v>
      </c>
      <c r="G475" s="3">
        <v>768195</v>
      </c>
      <c r="H475" s="2" t="str">
        <f t="shared" si="14"/>
        <v>2021-Q4</v>
      </c>
      <c r="I475" s="2" t="str">
        <f t="shared" si="15"/>
        <v>No</v>
      </c>
    </row>
    <row r="476" spans="1:9" ht="15" customHeight="1" x14ac:dyDescent="0.35">
      <c r="A476" s="2" t="s">
        <v>390</v>
      </c>
      <c r="B476" s="2" t="s">
        <v>29</v>
      </c>
      <c r="C476" s="2" t="s">
        <v>25</v>
      </c>
      <c r="D476" s="2" t="s">
        <v>44</v>
      </c>
      <c r="E476" s="2">
        <v>2021</v>
      </c>
      <c r="F476" s="2" t="s">
        <v>35</v>
      </c>
      <c r="G476" s="3">
        <v>753790</v>
      </c>
      <c r="H476" s="2" t="str">
        <f t="shared" si="14"/>
        <v>2021-Q4</v>
      </c>
      <c r="I476" s="2" t="str">
        <f t="shared" si="15"/>
        <v>No</v>
      </c>
    </row>
    <row r="477" spans="1:9" ht="15" customHeight="1" x14ac:dyDescent="0.35">
      <c r="A477" s="2" t="s">
        <v>391</v>
      </c>
      <c r="B477" s="2" t="s">
        <v>29</v>
      </c>
      <c r="C477" s="2" t="s">
        <v>25</v>
      </c>
      <c r="D477" s="2" t="s">
        <v>44</v>
      </c>
      <c r="E477" s="2">
        <v>2021</v>
      </c>
      <c r="F477" s="2" t="s">
        <v>35</v>
      </c>
      <c r="G477" s="3">
        <v>597968</v>
      </c>
      <c r="H477" s="2" t="str">
        <f t="shared" si="14"/>
        <v>2021-Q4</v>
      </c>
      <c r="I477" s="2" t="str">
        <f t="shared" si="15"/>
        <v>No</v>
      </c>
    </row>
    <row r="478" spans="1:9" ht="15" customHeight="1" x14ac:dyDescent="0.35">
      <c r="A478" s="2" t="s">
        <v>391</v>
      </c>
      <c r="B478" s="2" t="s">
        <v>29</v>
      </c>
      <c r="C478" s="2" t="s">
        <v>21</v>
      </c>
      <c r="D478" s="2" t="s">
        <v>44</v>
      </c>
      <c r="E478" s="2">
        <v>2021</v>
      </c>
      <c r="F478" s="2" t="s">
        <v>35</v>
      </c>
      <c r="G478" s="3">
        <v>1975800</v>
      </c>
      <c r="H478" s="2" t="str">
        <f t="shared" si="14"/>
        <v>2021-Q4</v>
      </c>
      <c r="I478" s="2" t="str">
        <f t="shared" si="15"/>
        <v>No</v>
      </c>
    </row>
    <row r="479" spans="1:9" ht="15" customHeight="1" x14ac:dyDescent="0.35">
      <c r="A479" s="2" t="s">
        <v>392</v>
      </c>
      <c r="B479" s="2" t="s">
        <v>29</v>
      </c>
      <c r="C479" s="2" t="s">
        <v>25</v>
      </c>
      <c r="D479" s="2" t="s">
        <v>44</v>
      </c>
      <c r="E479" s="2">
        <v>2021</v>
      </c>
      <c r="F479" s="2" t="s">
        <v>35</v>
      </c>
      <c r="G479" s="3">
        <v>401833</v>
      </c>
      <c r="H479" s="2" t="str">
        <f t="shared" si="14"/>
        <v>2021-Q4</v>
      </c>
      <c r="I479" s="2" t="str">
        <f t="shared" si="15"/>
        <v>No</v>
      </c>
    </row>
    <row r="480" spans="1:9" ht="15" customHeight="1" x14ac:dyDescent="0.35">
      <c r="A480" s="2" t="s">
        <v>393</v>
      </c>
      <c r="B480" s="2" t="s">
        <v>29</v>
      </c>
      <c r="C480" s="2" t="s">
        <v>16</v>
      </c>
      <c r="D480" s="2" t="s">
        <v>44</v>
      </c>
      <c r="E480" s="2">
        <v>2021</v>
      </c>
      <c r="F480" s="2" t="s">
        <v>35</v>
      </c>
      <c r="G480" s="3">
        <v>997894</v>
      </c>
      <c r="H480" s="2" t="str">
        <f t="shared" si="14"/>
        <v>2021-Q4</v>
      </c>
      <c r="I480" s="2" t="str">
        <f t="shared" si="15"/>
        <v>No</v>
      </c>
    </row>
    <row r="481" spans="1:9" ht="15" customHeight="1" x14ac:dyDescent="0.35">
      <c r="A481" s="2" t="s">
        <v>393</v>
      </c>
      <c r="B481" s="2" t="s">
        <v>29</v>
      </c>
      <c r="C481" s="2" t="s">
        <v>11</v>
      </c>
      <c r="D481" s="2" t="s">
        <v>44</v>
      </c>
      <c r="E481" s="2">
        <v>2021</v>
      </c>
      <c r="F481" s="2" t="s">
        <v>35</v>
      </c>
      <c r="G481" s="3">
        <v>484032</v>
      </c>
      <c r="H481" s="2" t="str">
        <f t="shared" si="14"/>
        <v>2021-Q4</v>
      </c>
      <c r="I481" s="2" t="str">
        <f t="shared" si="15"/>
        <v>No</v>
      </c>
    </row>
    <row r="482" spans="1:9" ht="15" customHeight="1" x14ac:dyDescent="0.35">
      <c r="A482" s="2" t="s">
        <v>394</v>
      </c>
      <c r="B482" s="2" t="s">
        <v>29</v>
      </c>
      <c r="C482" s="2" t="s">
        <v>25</v>
      </c>
      <c r="D482" s="2" t="s">
        <v>44</v>
      </c>
      <c r="E482" s="2">
        <v>2021</v>
      </c>
      <c r="F482" s="2" t="s">
        <v>35</v>
      </c>
      <c r="G482" s="3">
        <v>1797272</v>
      </c>
      <c r="H482" s="2" t="str">
        <f t="shared" si="14"/>
        <v>2021-Q4</v>
      </c>
      <c r="I482" s="2" t="str">
        <f t="shared" si="15"/>
        <v>No</v>
      </c>
    </row>
    <row r="483" spans="1:9" ht="15" customHeight="1" x14ac:dyDescent="0.35">
      <c r="A483" s="2" t="s">
        <v>395</v>
      </c>
      <c r="B483" s="2" t="s">
        <v>29</v>
      </c>
      <c r="C483" s="2" t="s">
        <v>16</v>
      </c>
      <c r="D483" s="2" t="s">
        <v>44</v>
      </c>
      <c r="E483" s="2">
        <v>2021</v>
      </c>
      <c r="F483" s="2" t="s">
        <v>35</v>
      </c>
      <c r="G483" s="3">
        <v>653332</v>
      </c>
      <c r="H483" s="2" t="str">
        <f t="shared" si="14"/>
        <v>2021-Q4</v>
      </c>
      <c r="I483" s="2" t="str">
        <f t="shared" si="15"/>
        <v>No</v>
      </c>
    </row>
    <row r="484" spans="1:9" ht="15" customHeight="1" x14ac:dyDescent="0.35">
      <c r="A484" s="2" t="s">
        <v>395</v>
      </c>
      <c r="B484" s="2" t="s">
        <v>29</v>
      </c>
      <c r="C484" s="2" t="s">
        <v>16</v>
      </c>
      <c r="D484" s="2" t="s">
        <v>44</v>
      </c>
      <c r="E484" s="2">
        <v>2021</v>
      </c>
      <c r="F484" s="2" t="s">
        <v>35</v>
      </c>
      <c r="G484" s="3">
        <v>172372</v>
      </c>
      <c r="H484" s="2" t="str">
        <f t="shared" si="14"/>
        <v>2021-Q4</v>
      </c>
      <c r="I484" s="2" t="str">
        <f t="shared" si="15"/>
        <v>No</v>
      </c>
    </row>
    <row r="485" spans="1:9" ht="15" customHeight="1" x14ac:dyDescent="0.35">
      <c r="A485" s="2" t="s">
        <v>396</v>
      </c>
      <c r="B485" s="2" t="s">
        <v>29</v>
      </c>
      <c r="C485" s="2" t="s">
        <v>25</v>
      </c>
      <c r="D485" s="2" t="s">
        <v>44</v>
      </c>
      <c r="E485" s="2">
        <v>2021</v>
      </c>
      <c r="F485" s="2" t="s">
        <v>35</v>
      </c>
      <c r="G485" s="3">
        <v>1152230</v>
      </c>
      <c r="H485" s="2" t="str">
        <f t="shared" si="14"/>
        <v>2021-Q4</v>
      </c>
      <c r="I485" s="2" t="str">
        <f t="shared" si="15"/>
        <v>No</v>
      </c>
    </row>
    <row r="486" spans="1:9" ht="15" customHeight="1" x14ac:dyDescent="0.35">
      <c r="A486" s="2" t="s">
        <v>397</v>
      </c>
      <c r="B486" s="2" t="s">
        <v>29</v>
      </c>
      <c r="C486" s="2" t="s">
        <v>25</v>
      </c>
      <c r="D486" s="2" t="s">
        <v>44</v>
      </c>
      <c r="E486" s="2">
        <v>2021</v>
      </c>
      <c r="F486" s="2" t="s">
        <v>35</v>
      </c>
      <c r="G486" s="3">
        <v>202460</v>
      </c>
      <c r="H486" s="2" t="str">
        <f t="shared" si="14"/>
        <v>2021-Q4</v>
      </c>
      <c r="I486" s="2" t="str">
        <f t="shared" si="15"/>
        <v>No</v>
      </c>
    </row>
    <row r="487" spans="1:9" ht="15" customHeight="1" x14ac:dyDescent="0.35">
      <c r="A487" s="2" t="s">
        <v>398</v>
      </c>
      <c r="B487" s="2" t="s">
        <v>29</v>
      </c>
      <c r="C487" s="2" t="s">
        <v>25</v>
      </c>
      <c r="D487" s="2" t="s">
        <v>44</v>
      </c>
      <c r="E487" s="2">
        <v>2021</v>
      </c>
      <c r="F487" s="2" t="s">
        <v>35</v>
      </c>
      <c r="G487" s="3">
        <v>1248770</v>
      </c>
      <c r="H487" s="2" t="str">
        <f t="shared" si="14"/>
        <v>2021-Q4</v>
      </c>
      <c r="I487" s="2" t="str">
        <f t="shared" si="15"/>
        <v>No</v>
      </c>
    </row>
    <row r="488" spans="1:9" ht="15" customHeight="1" x14ac:dyDescent="0.35">
      <c r="A488" s="2" t="s">
        <v>399</v>
      </c>
      <c r="B488" s="2" t="s">
        <v>29</v>
      </c>
      <c r="C488" s="2" t="s">
        <v>21</v>
      </c>
      <c r="D488" s="2" t="s">
        <v>48</v>
      </c>
      <c r="E488" s="2">
        <v>2022</v>
      </c>
      <c r="F488" s="2" t="s">
        <v>49</v>
      </c>
      <c r="G488" s="3">
        <v>890440</v>
      </c>
      <c r="H488" s="2" t="str">
        <f t="shared" si="14"/>
        <v>2022-Q1</v>
      </c>
      <c r="I488" s="2" t="str">
        <f t="shared" si="15"/>
        <v>No</v>
      </c>
    </row>
    <row r="489" spans="1:9" ht="15" customHeight="1" x14ac:dyDescent="0.35">
      <c r="A489" s="2" t="s">
        <v>399</v>
      </c>
      <c r="B489" s="2" t="s">
        <v>29</v>
      </c>
      <c r="C489" s="2" t="s">
        <v>11</v>
      </c>
      <c r="D489" s="2" t="s">
        <v>48</v>
      </c>
      <c r="E489" s="2">
        <v>2022</v>
      </c>
      <c r="F489" s="2" t="s">
        <v>49</v>
      </c>
      <c r="G489" s="3">
        <v>699946</v>
      </c>
      <c r="H489" s="2" t="str">
        <f t="shared" si="14"/>
        <v>2022-Q1</v>
      </c>
      <c r="I489" s="2" t="str">
        <f t="shared" si="15"/>
        <v>No</v>
      </c>
    </row>
    <row r="490" spans="1:9" ht="15" customHeight="1" x14ac:dyDescent="0.35">
      <c r="A490" s="2" t="s">
        <v>400</v>
      </c>
      <c r="B490" s="2" t="s">
        <v>29</v>
      </c>
      <c r="C490" s="2" t="s">
        <v>16</v>
      </c>
      <c r="D490" s="2" t="s">
        <v>48</v>
      </c>
      <c r="E490" s="2">
        <v>2022</v>
      </c>
      <c r="F490" s="2" t="s">
        <v>49</v>
      </c>
      <c r="G490" s="3">
        <v>1345108</v>
      </c>
      <c r="H490" s="2" t="str">
        <f t="shared" si="14"/>
        <v>2022-Q1</v>
      </c>
      <c r="I490" s="2" t="str">
        <f t="shared" si="15"/>
        <v>No</v>
      </c>
    </row>
    <row r="491" spans="1:9" ht="15" customHeight="1" x14ac:dyDescent="0.35">
      <c r="A491" s="2" t="s">
        <v>400</v>
      </c>
      <c r="B491" s="2" t="s">
        <v>29</v>
      </c>
      <c r="C491" s="2" t="s">
        <v>21</v>
      </c>
      <c r="D491" s="2" t="s">
        <v>48</v>
      </c>
      <c r="E491" s="2">
        <v>2022</v>
      </c>
      <c r="F491" s="2" t="s">
        <v>49</v>
      </c>
      <c r="G491" s="3">
        <v>208248</v>
      </c>
      <c r="H491" s="2" t="str">
        <f t="shared" si="14"/>
        <v>2022-Q1</v>
      </c>
      <c r="I491" s="2" t="str">
        <f t="shared" si="15"/>
        <v>No</v>
      </c>
    </row>
    <row r="492" spans="1:9" ht="15" customHeight="1" x14ac:dyDescent="0.35">
      <c r="A492" s="2" t="s">
        <v>400</v>
      </c>
      <c r="B492" s="2" t="s">
        <v>29</v>
      </c>
      <c r="C492" s="2" t="s">
        <v>16</v>
      </c>
      <c r="D492" s="2" t="s">
        <v>48</v>
      </c>
      <c r="E492" s="2">
        <v>2022</v>
      </c>
      <c r="F492" s="2" t="s">
        <v>49</v>
      </c>
      <c r="G492" s="3">
        <v>231825</v>
      </c>
      <c r="H492" s="2" t="str">
        <f t="shared" si="14"/>
        <v>2022-Q1</v>
      </c>
      <c r="I492" s="2" t="str">
        <f t="shared" si="15"/>
        <v>No</v>
      </c>
    </row>
    <row r="493" spans="1:9" ht="15" customHeight="1" x14ac:dyDescent="0.35">
      <c r="A493" s="2" t="s">
        <v>401</v>
      </c>
      <c r="B493" s="2" t="s">
        <v>29</v>
      </c>
      <c r="C493" s="2" t="s">
        <v>25</v>
      </c>
      <c r="D493" s="2" t="s">
        <v>48</v>
      </c>
      <c r="E493" s="2">
        <v>2022</v>
      </c>
      <c r="F493" s="2" t="s">
        <v>49</v>
      </c>
      <c r="G493" s="3">
        <v>1368251</v>
      </c>
      <c r="H493" s="2" t="str">
        <f t="shared" si="14"/>
        <v>2022-Q1</v>
      </c>
      <c r="I493" s="2" t="str">
        <f t="shared" si="15"/>
        <v>No</v>
      </c>
    </row>
    <row r="494" spans="1:9" ht="15" customHeight="1" x14ac:dyDescent="0.35">
      <c r="A494" s="2" t="s">
        <v>402</v>
      </c>
      <c r="B494" s="2" t="s">
        <v>29</v>
      </c>
      <c r="C494" s="2" t="s">
        <v>11</v>
      </c>
      <c r="D494" s="2" t="s">
        <v>48</v>
      </c>
      <c r="E494" s="2">
        <v>2022</v>
      </c>
      <c r="F494" s="2" t="s">
        <v>49</v>
      </c>
      <c r="G494" s="3">
        <v>1766857</v>
      </c>
      <c r="H494" s="2" t="str">
        <f t="shared" si="14"/>
        <v>2022-Q1</v>
      </c>
      <c r="I494" s="2" t="str">
        <f t="shared" si="15"/>
        <v>No</v>
      </c>
    </row>
    <row r="495" spans="1:9" ht="15" customHeight="1" x14ac:dyDescent="0.35">
      <c r="A495" s="2" t="s">
        <v>403</v>
      </c>
      <c r="B495" s="2" t="s">
        <v>29</v>
      </c>
      <c r="C495" s="2" t="s">
        <v>11</v>
      </c>
      <c r="D495" s="2" t="s">
        <v>48</v>
      </c>
      <c r="E495" s="2">
        <v>2022</v>
      </c>
      <c r="F495" s="2" t="s">
        <v>49</v>
      </c>
      <c r="G495" s="3">
        <v>362392</v>
      </c>
      <c r="H495" s="2" t="str">
        <f t="shared" si="14"/>
        <v>2022-Q1</v>
      </c>
      <c r="I495" s="2" t="str">
        <f t="shared" si="15"/>
        <v>No</v>
      </c>
    </row>
    <row r="496" spans="1:9" ht="15" customHeight="1" x14ac:dyDescent="0.35">
      <c r="A496" s="2" t="s">
        <v>404</v>
      </c>
      <c r="B496" s="2" t="s">
        <v>29</v>
      </c>
      <c r="C496" s="2" t="s">
        <v>16</v>
      </c>
      <c r="D496" s="2" t="s">
        <v>48</v>
      </c>
      <c r="E496" s="2">
        <v>2022</v>
      </c>
      <c r="F496" s="2" t="s">
        <v>49</v>
      </c>
      <c r="G496" s="3">
        <v>1376384</v>
      </c>
      <c r="H496" s="2" t="str">
        <f t="shared" si="14"/>
        <v>2022-Q1</v>
      </c>
      <c r="I496" s="2" t="str">
        <f t="shared" si="15"/>
        <v>No</v>
      </c>
    </row>
    <row r="497" spans="1:9" ht="15" customHeight="1" x14ac:dyDescent="0.35">
      <c r="A497" s="2" t="s">
        <v>404</v>
      </c>
      <c r="B497" s="2" t="s">
        <v>29</v>
      </c>
      <c r="C497" s="2" t="s">
        <v>25</v>
      </c>
      <c r="D497" s="2" t="s">
        <v>48</v>
      </c>
      <c r="E497" s="2">
        <v>2022</v>
      </c>
      <c r="F497" s="2" t="s">
        <v>49</v>
      </c>
      <c r="G497" s="3">
        <v>303946</v>
      </c>
      <c r="H497" s="2" t="str">
        <f t="shared" si="14"/>
        <v>2022-Q1</v>
      </c>
      <c r="I497" s="2" t="str">
        <f t="shared" si="15"/>
        <v>No</v>
      </c>
    </row>
    <row r="498" spans="1:9" ht="15" customHeight="1" x14ac:dyDescent="0.35">
      <c r="A498" s="2" t="s">
        <v>405</v>
      </c>
      <c r="B498" s="2" t="s">
        <v>29</v>
      </c>
      <c r="C498" s="2" t="s">
        <v>11</v>
      </c>
      <c r="D498" s="2" t="s">
        <v>48</v>
      </c>
      <c r="E498" s="2">
        <v>2022</v>
      </c>
      <c r="F498" s="2" t="s">
        <v>49</v>
      </c>
      <c r="G498" s="3">
        <v>1446936</v>
      </c>
      <c r="H498" s="2" t="str">
        <f t="shared" si="14"/>
        <v>2022-Q1</v>
      </c>
      <c r="I498" s="2" t="str">
        <f t="shared" si="15"/>
        <v>No</v>
      </c>
    </row>
    <row r="499" spans="1:9" ht="15" customHeight="1" x14ac:dyDescent="0.35">
      <c r="A499" s="2" t="s">
        <v>405</v>
      </c>
      <c r="B499" s="2" t="s">
        <v>29</v>
      </c>
      <c r="C499" s="2" t="s">
        <v>16</v>
      </c>
      <c r="D499" s="2" t="s">
        <v>48</v>
      </c>
      <c r="E499" s="2">
        <v>2022</v>
      </c>
      <c r="F499" s="2" t="s">
        <v>49</v>
      </c>
      <c r="G499" s="3">
        <v>1693881</v>
      </c>
      <c r="H499" s="2" t="str">
        <f t="shared" si="14"/>
        <v>2022-Q1</v>
      </c>
      <c r="I499" s="2" t="str">
        <f t="shared" si="15"/>
        <v>No</v>
      </c>
    </row>
    <row r="500" spans="1:9" ht="15" customHeight="1" x14ac:dyDescent="0.35">
      <c r="A500" s="2" t="s">
        <v>406</v>
      </c>
      <c r="B500" s="2" t="s">
        <v>29</v>
      </c>
      <c r="C500" s="2" t="s">
        <v>11</v>
      </c>
      <c r="D500" s="2" t="s">
        <v>48</v>
      </c>
      <c r="E500" s="2">
        <v>2022</v>
      </c>
      <c r="F500" s="2" t="s">
        <v>49</v>
      </c>
      <c r="G500" s="3">
        <v>1162971</v>
      </c>
      <c r="H500" s="2" t="str">
        <f t="shared" si="14"/>
        <v>2022-Q1</v>
      </c>
      <c r="I500" s="2" t="str">
        <f t="shared" si="15"/>
        <v>No</v>
      </c>
    </row>
    <row r="501" spans="1:9" ht="15" customHeight="1" x14ac:dyDescent="0.35">
      <c r="A501" s="2" t="s">
        <v>407</v>
      </c>
      <c r="B501" s="2" t="s">
        <v>29</v>
      </c>
      <c r="C501" s="2" t="s">
        <v>16</v>
      </c>
      <c r="D501" s="2" t="s">
        <v>48</v>
      </c>
      <c r="E501" s="2">
        <v>2022</v>
      </c>
      <c r="F501" s="2" t="s">
        <v>49</v>
      </c>
      <c r="G501" s="3">
        <v>332072</v>
      </c>
      <c r="H501" s="2" t="str">
        <f t="shared" si="14"/>
        <v>2022-Q1</v>
      </c>
      <c r="I501" s="2" t="str">
        <f t="shared" si="15"/>
        <v>No</v>
      </c>
    </row>
    <row r="502" spans="1:9" ht="15" customHeight="1" x14ac:dyDescent="0.35">
      <c r="A502" s="2" t="s">
        <v>407</v>
      </c>
      <c r="B502" s="2" t="s">
        <v>29</v>
      </c>
      <c r="C502" s="2" t="s">
        <v>25</v>
      </c>
      <c r="D502" s="2" t="s">
        <v>48</v>
      </c>
      <c r="E502" s="2">
        <v>2022</v>
      </c>
      <c r="F502" s="2" t="s">
        <v>49</v>
      </c>
      <c r="G502" s="3">
        <v>1509100</v>
      </c>
      <c r="H502" s="2" t="str">
        <f t="shared" si="14"/>
        <v>2022-Q1</v>
      </c>
      <c r="I502" s="2" t="str">
        <f t="shared" si="15"/>
        <v>No</v>
      </c>
    </row>
    <row r="503" spans="1:9" ht="15" customHeight="1" x14ac:dyDescent="0.35">
      <c r="A503" s="2" t="s">
        <v>408</v>
      </c>
      <c r="B503" s="2" t="s">
        <v>29</v>
      </c>
      <c r="C503" s="2" t="s">
        <v>11</v>
      </c>
      <c r="D503" s="2" t="s">
        <v>48</v>
      </c>
      <c r="E503" s="2">
        <v>2022</v>
      </c>
      <c r="F503" s="2" t="s">
        <v>49</v>
      </c>
      <c r="G503" s="3">
        <v>1816733</v>
      </c>
      <c r="H503" s="2" t="str">
        <f t="shared" si="14"/>
        <v>2022-Q1</v>
      </c>
      <c r="I503" s="2" t="str">
        <f t="shared" si="15"/>
        <v>No</v>
      </c>
    </row>
    <row r="504" spans="1:9" ht="15" customHeight="1" x14ac:dyDescent="0.35">
      <c r="A504" s="2" t="s">
        <v>409</v>
      </c>
      <c r="B504" s="2" t="s">
        <v>29</v>
      </c>
      <c r="C504" s="2" t="s">
        <v>21</v>
      </c>
      <c r="D504" s="2" t="s">
        <v>48</v>
      </c>
      <c r="E504" s="2">
        <v>2022</v>
      </c>
      <c r="F504" s="2" t="s">
        <v>49</v>
      </c>
      <c r="G504" s="3">
        <v>1904892</v>
      </c>
      <c r="H504" s="2" t="str">
        <f t="shared" si="14"/>
        <v>2022-Q1</v>
      </c>
      <c r="I504" s="2" t="str">
        <f t="shared" si="15"/>
        <v>No</v>
      </c>
    </row>
    <row r="505" spans="1:9" ht="15" customHeight="1" x14ac:dyDescent="0.35">
      <c r="A505" s="2" t="s">
        <v>409</v>
      </c>
      <c r="B505" s="2" t="s">
        <v>29</v>
      </c>
      <c r="C505" s="2" t="s">
        <v>21</v>
      </c>
      <c r="D505" s="2" t="s">
        <v>48</v>
      </c>
      <c r="E505" s="2">
        <v>2022</v>
      </c>
      <c r="F505" s="2" t="s">
        <v>49</v>
      </c>
      <c r="G505" s="3">
        <v>1844904</v>
      </c>
      <c r="H505" s="2" t="str">
        <f t="shared" si="14"/>
        <v>2022-Q1</v>
      </c>
      <c r="I505" s="2" t="str">
        <f t="shared" si="15"/>
        <v>No</v>
      </c>
    </row>
    <row r="506" spans="1:9" ht="15" customHeight="1" x14ac:dyDescent="0.35">
      <c r="A506" s="2" t="s">
        <v>410</v>
      </c>
      <c r="B506" s="2" t="s">
        <v>29</v>
      </c>
      <c r="C506" s="2" t="s">
        <v>21</v>
      </c>
      <c r="D506" s="2" t="s">
        <v>48</v>
      </c>
      <c r="E506" s="2">
        <v>2022</v>
      </c>
      <c r="F506" s="2" t="s">
        <v>49</v>
      </c>
      <c r="G506" s="3">
        <v>769203</v>
      </c>
      <c r="H506" s="2" t="str">
        <f t="shared" si="14"/>
        <v>2022-Q1</v>
      </c>
      <c r="I506" s="2" t="str">
        <f t="shared" si="15"/>
        <v>No</v>
      </c>
    </row>
    <row r="507" spans="1:9" ht="15" customHeight="1" x14ac:dyDescent="0.35">
      <c r="A507" s="2" t="s">
        <v>410</v>
      </c>
      <c r="B507" s="2" t="s">
        <v>29</v>
      </c>
      <c r="C507" s="2" t="s">
        <v>16</v>
      </c>
      <c r="D507" s="2" t="s">
        <v>48</v>
      </c>
      <c r="E507" s="2">
        <v>2022</v>
      </c>
      <c r="F507" s="2" t="s">
        <v>49</v>
      </c>
      <c r="G507" s="3">
        <v>1451234</v>
      </c>
      <c r="H507" s="2" t="str">
        <f t="shared" si="14"/>
        <v>2022-Q1</v>
      </c>
      <c r="I507" s="2" t="str">
        <f t="shared" si="15"/>
        <v>No</v>
      </c>
    </row>
    <row r="508" spans="1:9" ht="15" customHeight="1" x14ac:dyDescent="0.35">
      <c r="A508" s="2" t="s">
        <v>411</v>
      </c>
      <c r="B508" s="2" t="s">
        <v>29</v>
      </c>
      <c r="C508" s="2" t="s">
        <v>11</v>
      </c>
      <c r="D508" s="2" t="s">
        <v>66</v>
      </c>
      <c r="E508" s="2">
        <v>2022</v>
      </c>
      <c r="F508" s="2" t="s">
        <v>49</v>
      </c>
      <c r="G508" s="3">
        <v>548582</v>
      </c>
      <c r="H508" s="2" t="str">
        <f t="shared" si="14"/>
        <v>2022-Q1</v>
      </c>
      <c r="I508" s="2" t="str">
        <f t="shared" si="15"/>
        <v>No</v>
      </c>
    </row>
    <row r="509" spans="1:9" ht="15" customHeight="1" x14ac:dyDescent="0.35">
      <c r="A509" s="2" t="s">
        <v>412</v>
      </c>
      <c r="B509" s="2" t="s">
        <v>29</v>
      </c>
      <c r="C509" s="2" t="s">
        <v>21</v>
      </c>
      <c r="D509" s="2" t="s">
        <v>66</v>
      </c>
      <c r="E509" s="2">
        <v>2022</v>
      </c>
      <c r="F509" s="2" t="s">
        <v>49</v>
      </c>
      <c r="G509" s="3">
        <v>560067</v>
      </c>
      <c r="H509" s="2" t="str">
        <f t="shared" si="14"/>
        <v>2022-Q1</v>
      </c>
      <c r="I509" s="2" t="str">
        <f t="shared" si="15"/>
        <v>No</v>
      </c>
    </row>
    <row r="510" spans="1:9" ht="15" customHeight="1" x14ac:dyDescent="0.35">
      <c r="A510" s="2" t="s">
        <v>412</v>
      </c>
      <c r="B510" s="2" t="s">
        <v>29</v>
      </c>
      <c r="C510" s="2" t="s">
        <v>11</v>
      </c>
      <c r="D510" s="2" t="s">
        <v>66</v>
      </c>
      <c r="E510" s="2">
        <v>2022</v>
      </c>
      <c r="F510" s="2" t="s">
        <v>49</v>
      </c>
      <c r="G510" s="3">
        <v>1379309</v>
      </c>
      <c r="H510" s="2" t="str">
        <f t="shared" si="14"/>
        <v>2022-Q1</v>
      </c>
      <c r="I510" s="2" t="str">
        <f t="shared" si="15"/>
        <v>No</v>
      </c>
    </row>
    <row r="511" spans="1:9" ht="15" customHeight="1" x14ac:dyDescent="0.35">
      <c r="A511" s="2" t="s">
        <v>413</v>
      </c>
      <c r="B511" s="2" t="s">
        <v>29</v>
      </c>
      <c r="C511" s="2" t="s">
        <v>16</v>
      </c>
      <c r="D511" s="2" t="s">
        <v>66</v>
      </c>
      <c r="E511" s="2">
        <v>2022</v>
      </c>
      <c r="F511" s="2" t="s">
        <v>49</v>
      </c>
      <c r="G511" s="3">
        <v>342741</v>
      </c>
      <c r="H511" s="2" t="str">
        <f t="shared" si="14"/>
        <v>2022-Q1</v>
      </c>
      <c r="I511" s="2" t="str">
        <f t="shared" si="15"/>
        <v>No</v>
      </c>
    </row>
    <row r="512" spans="1:9" ht="15" customHeight="1" x14ac:dyDescent="0.35">
      <c r="A512" s="2" t="s">
        <v>414</v>
      </c>
      <c r="B512" s="2" t="s">
        <v>29</v>
      </c>
      <c r="C512" s="2" t="s">
        <v>11</v>
      </c>
      <c r="D512" s="2" t="s">
        <v>66</v>
      </c>
      <c r="E512" s="2">
        <v>2022</v>
      </c>
      <c r="F512" s="2" t="s">
        <v>49</v>
      </c>
      <c r="G512" s="3">
        <v>681756</v>
      </c>
      <c r="H512" s="2" t="str">
        <f t="shared" si="14"/>
        <v>2022-Q1</v>
      </c>
      <c r="I512" s="2" t="str">
        <f t="shared" si="15"/>
        <v>No</v>
      </c>
    </row>
    <row r="513" spans="1:9" ht="15" customHeight="1" x14ac:dyDescent="0.35">
      <c r="A513" s="2" t="s">
        <v>415</v>
      </c>
      <c r="B513" s="2" t="s">
        <v>29</v>
      </c>
      <c r="C513" s="2" t="s">
        <v>16</v>
      </c>
      <c r="D513" s="2" t="s">
        <v>66</v>
      </c>
      <c r="E513" s="2">
        <v>2022</v>
      </c>
      <c r="F513" s="2" t="s">
        <v>49</v>
      </c>
      <c r="G513" s="3">
        <v>619416</v>
      </c>
      <c r="H513" s="2" t="str">
        <f t="shared" si="14"/>
        <v>2022-Q1</v>
      </c>
      <c r="I513" s="2" t="str">
        <f t="shared" si="15"/>
        <v>No</v>
      </c>
    </row>
    <row r="514" spans="1:9" ht="15" customHeight="1" x14ac:dyDescent="0.35">
      <c r="A514" s="2" t="s">
        <v>416</v>
      </c>
      <c r="B514" s="2" t="s">
        <v>29</v>
      </c>
      <c r="C514" s="2" t="s">
        <v>21</v>
      </c>
      <c r="D514" s="2" t="s">
        <v>66</v>
      </c>
      <c r="E514" s="2">
        <v>2022</v>
      </c>
      <c r="F514" s="2" t="s">
        <v>49</v>
      </c>
      <c r="G514" s="3">
        <v>485770</v>
      </c>
      <c r="H514" s="2" t="str">
        <f t="shared" ref="H514:H577" si="16">E514&amp;"-"&amp;F514</f>
        <v>2022-Q1</v>
      </c>
      <c r="I514" s="2" t="str">
        <f t="shared" ref="I514:I577" si="17">IF(E514=2019,"Yes","No")</f>
        <v>No</v>
      </c>
    </row>
    <row r="515" spans="1:9" ht="15" customHeight="1" x14ac:dyDescent="0.35">
      <c r="A515" s="2" t="s">
        <v>416</v>
      </c>
      <c r="B515" s="2" t="s">
        <v>29</v>
      </c>
      <c r="C515" s="2" t="s">
        <v>11</v>
      </c>
      <c r="D515" s="2" t="s">
        <v>66</v>
      </c>
      <c r="E515" s="2">
        <v>2022</v>
      </c>
      <c r="F515" s="2" t="s">
        <v>49</v>
      </c>
      <c r="G515" s="3">
        <v>1229004</v>
      </c>
      <c r="H515" s="2" t="str">
        <f t="shared" si="16"/>
        <v>2022-Q1</v>
      </c>
      <c r="I515" s="2" t="str">
        <f t="shared" si="17"/>
        <v>No</v>
      </c>
    </row>
    <row r="516" spans="1:9" ht="15" customHeight="1" x14ac:dyDescent="0.35">
      <c r="A516" s="2" t="s">
        <v>416</v>
      </c>
      <c r="B516" s="2" t="s">
        <v>29</v>
      </c>
      <c r="C516" s="2" t="s">
        <v>11</v>
      </c>
      <c r="D516" s="2" t="s">
        <v>66</v>
      </c>
      <c r="E516" s="2">
        <v>2022</v>
      </c>
      <c r="F516" s="2" t="s">
        <v>49</v>
      </c>
      <c r="G516" s="3">
        <v>1025294</v>
      </c>
      <c r="H516" s="2" t="str">
        <f t="shared" si="16"/>
        <v>2022-Q1</v>
      </c>
      <c r="I516" s="2" t="str">
        <f t="shared" si="17"/>
        <v>No</v>
      </c>
    </row>
    <row r="517" spans="1:9" ht="15" customHeight="1" x14ac:dyDescent="0.35">
      <c r="A517" s="2" t="s">
        <v>417</v>
      </c>
      <c r="B517" s="2" t="s">
        <v>29</v>
      </c>
      <c r="C517" s="2" t="s">
        <v>11</v>
      </c>
      <c r="D517" s="2" t="s">
        <v>66</v>
      </c>
      <c r="E517" s="2">
        <v>2022</v>
      </c>
      <c r="F517" s="2" t="s">
        <v>49</v>
      </c>
      <c r="G517" s="3">
        <v>540529</v>
      </c>
      <c r="H517" s="2" t="str">
        <f t="shared" si="16"/>
        <v>2022-Q1</v>
      </c>
      <c r="I517" s="2" t="str">
        <f t="shared" si="17"/>
        <v>No</v>
      </c>
    </row>
    <row r="518" spans="1:9" ht="15" customHeight="1" x14ac:dyDescent="0.35">
      <c r="A518" s="2" t="s">
        <v>418</v>
      </c>
      <c r="B518" s="2" t="s">
        <v>29</v>
      </c>
      <c r="C518" s="2" t="s">
        <v>16</v>
      </c>
      <c r="D518" s="2" t="s">
        <v>66</v>
      </c>
      <c r="E518" s="2">
        <v>2022</v>
      </c>
      <c r="F518" s="2" t="s">
        <v>49</v>
      </c>
      <c r="G518" s="3">
        <v>1020997</v>
      </c>
      <c r="H518" s="2" t="str">
        <f t="shared" si="16"/>
        <v>2022-Q1</v>
      </c>
      <c r="I518" s="2" t="str">
        <f t="shared" si="17"/>
        <v>No</v>
      </c>
    </row>
    <row r="519" spans="1:9" ht="15" customHeight="1" x14ac:dyDescent="0.35">
      <c r="A519" s="2" t="s">
        <v>418</v>
      </c>
      <c r="B519" s="2" t="s">
        <v>29</v>
      </c>
      <c r="C519" s="2" t="s">
        <v>11</v>
      </c>
      <c r="D519" s="2" t="s">
        <v>66</v>
      </c>
      <c r="E519" s="2">
        <v>2022</v>
      </c>
      <c r="F519" s="2" t="s">
        <v>49</v>
      </c>
      <c r="G519" s="3">
        <v>991075</v>
      </c>
      <c r="H519" s="2" t="str">
        <f t="shared" si="16"/>
        <v>2022-Q1</v>
      </c>
      <c r="I519" s="2" t="str">
        <f t="shared" si="17"/>
        <v>No</v>
      </c>
    </row>
    <row r="520" spans="1:9" ht="15" customHeight="1" x14ac:dyDescent="0.35">
      <c r="A520" s="2" t="s">
        <v>419</v>
      </c>
      <c r="B520" s="2" t="s">
        <v>29</v>
      </c>
      <c r="C520" s="2" t="s">
        <v>25</v>
      </c>
      <c r="D520" s="2" t="s">
        <v>66</v>
      </c>
      <c r="E520" s="2">
        <v>2022</v>
      </c>
      <c r="F520" s="2" t="s">
        <v>49</v>
      </c>
      <c r="G520" s="3">
        <v>1909906</v>
      </c>
      <c r="H520" s="2" t="str">
        <f t="shared" si="16"/>
        <v>2022-Q1</v>
      </c>
      <c r="I520" s="2" t="str">
        <f t="shared" si="17"/>
        <v>No</v>
      </c>
    </row>
    <row r="521" spans="1:9" ht="15" customHeight="1" x14ac:dyDescent="0.35">
      <c r="A521" s="2" t="s">
        <v>420</v>
      </c>
      <c r="B521" s="2" t="s">
        <v>29</v>
      </c>
      <c r="C521" s="2" t="s">
        <v>25</v>
      </c>
      <c r="D521" s="2" t="s">
        <v>66</v>
      </c>
      <c r="E521" s="2">
        <v>2022</v>
      </c>
      <c r="F521" s="2" t="s">
        <v>49</v>
      </c>
      <c r="G521" s="3">
        <v>867097</v>
      </c>
      <c r="H521" s="2" t="str">
        <f t="shared" si="16"/>
        <v>2022-Q1</v>
      </c>
      <c r="I521" s="2" t="str">
        <f t="shared" si="17"/>
        <v>No</v>
      </c>
    </row>
    <row r="522" spans="1:9" ht="15" customHeight="1" x14ac:dyDescent="0.35">
      <c r="A522" s="2" t="s">
        <v>421</v>
      </c>
      <c r="B522" s="2" t="s">
        <v>29</v>
      </c>
      <c r="C522" s="2" t="s">
        <v>11</v>
      </c>
      <c r="D522" s="2" t="s">
        <v>66</v>
      </c>
      <c r="E522" s="2">
        <v>2022</v>
      </c>
      <c r="F522" s="2" t="s">
        <v>49</v>
      </c>
      <c r="G522" s="3">
        <v>1403980</v>
      </c>
      <c r="H522" s="2" t="str">
        <f t="shared" si="16"/>
        <v>2022-Q1</v>
      </c>
      <c r="I522" s="2" t="str">
        <f t="shared" si="17"/>
        <v>No</v>
      </c>
    </row>
    <row r="523" spans="1:9" ht="15" customHeight="1" x14ac:dyDescent="0.35">
      <c r="A523" s="2" t="s">
        <v>422</v>
      </c>
      <c r="B523" s="2" t="s">
        <v>29</v>
      </c>
      <c r="C523" s="2" t="s">
        <v>16</v>
      </c>
      <c r="D523" s="2" t="s">
        <v>66</v>
      </c>
      <c r="E523" s="2">
        <v>2022</v>
      </c>
      <c r="F523" s="2" t="s">
        <v>49</v>
      </c>
      <c r="G523" s="3">
        <v>1528172</v>
      </c>
      <c r="H523" s="2" t="str">
        <f t="shared" si="16"/>
        <v>2022-Q1</v>
      </c>
      <c r="I523" s="2" t="str">
        <f t="shared" si="17"/>
        <v>No</v>
      </c>
    </row>
    <row r="524" spans="1:9" ht="15" customHeight="1" x14ac:dyDescent="0.35">
      <c r="A524" s="2" t="s">
        <v>423</v>
      </c>
      <c r="B524" s="2" t="s">
        <v>29</v>
      </c>
      <c r="C524" s="2" t="s">
        <v>21</v>
      </c>
      <c r="D524" s="2" t="s">
        <v>66</v>
      </c>
      <c r="E524" s="2">
        <v>2022</v>
      </c>
      <c r="F524" s="2" t="s">
        <v>49</v>
      </c>
      <c r="G524" s="3">
        <v>619639</v>
      </c>
      <c r="H524" s="2" t="str">
        <f t="shared" si="16"/>
        <v>2022-Q1</v>
      </c>
      <c r="I524" s="2" t="str">
        <f t="shared" si="17"/>
        <v>No</v>
      </c>
    </row>
    <row r="525" spans="1:9" ht="15" customHeight="1" x14ac:dyDescent="0.35">
      <c r="A525" s="2" t="s">
        <v>423</v>
      </c>
      <c r="B525" s="2" t="s">
        <v>29</v>
      </c>
      <c r="C525" s="2" t="s">
        <v>21</v>
      </c>
      <c r="D525" s="2" t="s">
        <v>66</v>
      </c>
      <c r="E525" s="2">
        <v>2022</v>
      </c>
      <c r="F525" s="2" t="s">
        <v>49</v>
      </c>
      <c r="G525" s="3">
        <v>621829</v>
      </c>
      <c r="H525" s="2" t="str">
        <f t="shared" si="16"/>
        <v>2022-Q1</v>
      </c>
      <c r="I525" s="2" t="str">
        <f t="shared" si="17"/>
        <v>No</v>
      </c>
    </row>
    <row r="526" spans="1:9" ht="15" customHeight="1" x14ac:dyDescent="0.35">
      <c r="A526" s="2" t="s">
        <v>423</v>
      </c>
      <c r="B526" s="2" t="s">
        <v>29</v>
      </c>
      <c r="C526" s="2" t="s">
        <v>21</v>
      </c>
      <c r="D526" s="2" t="s">
        <v>66</v>
      </c>
      <c r="E526" s="2">
        <v>2022</v>
      </c>
      <c r="F526" s="2" t="s">
        <v>49</v>
      </c>
      <c r="G526" s="3">
        <v>774735</v>
      </c>
      <c r="H526" s="2" t="str">
        <f t="shared" si="16"/>
        <v>2022-Q1</v>
      </c>
      <c r="I526" s="2" t="str">
        <f t="shared" si="17"/>
        <v>No</v>
      </c>
    </row>
    <row r="527" spans="1:9" ht="15" customHeight="1" x14ac:dyDescent="0.35">
      <c r="A527" s="2" t="s">
        <v>423</v>
      </c>
      <c r="B527" s="2" t="s">
        <v>29</v>
      </c>
      <c r="C527" s="2" t="s">
        <v>11</v>
      </c>
      <c r="D527" s="2" t="s">
        <v>66</v>
      </c>
      <c r="E527" s="2">
        <v>2022</v>
      </c>
      <c r="F527" s="2" t="s">
        <v>49</v>
      </c>
      <c r="G527" s="3">
        <v>849848</v>
      </c>
      <c r="H527" s="2" t="str">
        <f t="shared" si="16"/>
        <v>2022-Q1</v>
      </c>
      <c r="I527" s="2" t="str">
        <f t="shared" si="17"/>
        <v>No</v>
      </c>
    </row>
    <row r="528" spans="1:9" ht="15" customHeight="1" x14ac:dyDescent="0.35">
      <c r="A528" s="2" t="s">
        <v>423</v>
      </c>
      <c r="B528" s="2" t="s">
        <v>29</v>
      </c>
      <c r="C528" s="2" t="s">
        <v>16</v>
      </c>
      <c r="D528" s="2" t="s">
        <v>66</v>
      </c>
      <c r="E528" s="2">
        <v>2022</v>
      </c>
      <c r="F528" s="2" t="s">
        <v>49</v>
      </c>
      <c r="G528" s="3">
        <v>1322622</v>
      </c>
      <c r="H528" s="2" t="str">
        <f t="shared" si="16"/>
        <v>2022-Q1</v>
      </c>
      <c r="I528" s="2" t="str">
        <f t="shared" si="17"/>
        <v>No</v>
      </c>
    </row>
    <row r="529" spans="1:9" ht="15" customHeight="1" x14ac:dyDescent="0.35">
      <c r="A529" s="2" t="s">
        <v>423</v>
      </c>
      <c r="B529" s="2" t="s">
        <v>29</v>
      </c>
      <c r="C529" s="2" t="s">
        <v>25</v>
      </c>
      <c r="D529" s="2" t="s">
        <v>66</v>
      </c>
      <c r="E529" s="2">
        <v>2022</v>
      </c>
      <c r="F529" s="2" t="s">
        <v>49</v>
      </c>
      <c r="G529" s="3">
        <v>1192453</v>
      </c>
      <c r="H529" s="2" t="str">
        <f t="shared" si="16"/>
        <v>2022-Q1</v>
      </c>
      <c r="I529" s="2" t="str">
        <f t="shared" si="17"/>
        <v>No</v>
      </c>
    </row>
    <row r="530" spans="1:9" ht="15" customHeight="1" x14ac:dyDescent="0.35">
      <c r="A530" s="2" t="s">
        <v>424</v>
      </c>
      <c r="B530" s="2" t="s">
        <v>29</v>
      </c>
      <c r="C530" s="2" t="s">
        <v>11</v>
      </c>
      <c r="D530" s="2" t="s">
        <v>66</v>
      </c>
      <c r="E530" s="2">
        <v>2022</v>
      </c>
      <c r="F530" s="2" t="s">
        <v>49</v>
      </c>
      <c r="G530" s="3">
        <v>740388</v>
      </c>
      <c r="H530" s="2" t="str">
        <f t="shared" si="16"/>
        <v>2022-Q1</v>
      </c>
      <c r="I530" s="2" t="str">
        <f t="shared" si="17"/>
        <v>No</v>
      </c>
    </row>
    <row r="531" spans="1:9" ht="15" customHeight="1" x14ac:dyDescent="0.35">
      <c r="A531" s="2" t="s">
        <v>425</v>
      </c>
      <c r="B531" s="2" t="s">
        <v>29</v>
      </c>
      <c r="C531" s="2" t="s">
        <v>21</v>
      </c>
      <c r="D531" s="2" t="s">
        <v>66</v>
      </c>
      <c r="E531" s="2">
        <v>2022</v>
      </c>
      <c r="F531" s="2" t="s">
        <v>49</v>
      </c>
      <c r="G531" s="3">
        <v>741779</v>
      </c>
      <c r="H531" s="2" t="str">
        <f t="shared" si="16"/>
        <v>2022-Q1</v>
      </c>
      <c r="I531" s="2" t="str">
        <f t="shared" si="17"/>
        <v>No</v>
      </c>
    </row>
    <row r="532" spans="1:9" ht="15" customHeight="1" x14ac:dyDescent="0.35">
      <c r="A532" s="2" t="s">
        <v>426</v>
      </c>
      <c r="B532" s="2" t="s">
        <v>29</v>
      </c>
      <c r="C532" s="2" t="s">
        <v>11</v>
      </c>
      <c r="D532" s="2" t="s">
        <v>66</v>
      </c>
      <c r="E532" s="2">
        <v>2022</v>
      </c>
      <c r="F532" s="2" t="s">
        <v>49</v>
      </c>
      <c r="G532" s="3">
        <v>1882278</v>
      </c>
      <c r="H532" s="2" t="str">
        <f t="shared" si="16"/>
        <v>2022-Q1</v>
      </c>
      <c r="I532" s="2" t="str">
        <f t="shared" si="17"/>
        <v>No</v>
      </c>
    </row>
    <row r="533" spans="1:9" ht="15" customHeight="1" x14ac:dyDescent="0.35">
      <c r="A533" s="2" t="s">
        <v>427</v>
      </c>
      <c r="B533" s="2" t="s">
        <v>29</v>
      </c>
      <c r="C533" s="2" t="s">
        <v>25</v>
      </c>
      <c r="D533" s="2" t="s">
        <v>80</v>
      </c>
      <c r="E533" s="2">
        <v>2022</v>
      </c>
      <c r="F533" s="2" t="s">
        <v>49</v>
      </c>
      <c r="G533" s="3">
        <v>163305</v>
      </c>
      <c r="H533" s="2" t="str">
        <f t="shared" si="16"/>
        <v>2022-Q1</v>
      </c>
      <c r="I533" s="2" t="str">
        <f t="shared" si="17"/>
        <v>No</v>
      </c>
    </row>
    <row r="534" spans="1:9" ht="15" customHeight="1" x14ac:dyDescent="0.35">
      <c r="A534" s="2" t="s">
        <v>427</v>
      </c>
      <c r="B534" s="2" t="s">
        <v>29</v>
      </c>
      <c r="C534" s="2" t="s">
        <v>11</v>
      </c>
      <c r="D534" s="2" t="s">
        <v>80</v>
      </c>
      <c r="E534" s="2">
        <v>2022</v>
      </c>
      <c r="F534" s="2" t="s">
        <v>49</v>
      </c>
      <c r="G534" s="3">
        <v>1002596</v>
      </c>
      <c r="H534" s="2" t="str">
        <f t="shared" si="16"/>
        <v>2022-Q1</v>
      </c>
      <c r="I534" s="2" t="str">
        <f t="shared" si="17"/>
        <v>No</v>
      </c>
    </row>
    <row r="535" spans="1:9" ht="15" customHeight="1" x14ac:dyDescent="0.35">
      <c r="A535" s="2" t="s">
        <v>427</v>
      </c>
      <c r="B535" s="2" t="s">
        <v>29</v>
      </c>
      <c r="C535" s="2" t="s">
        <v>16</v>
      </c>
      <c r="D535" s="2" t="s">
        <v>80</v>
      </c>
      <c r="E535" s="2">
        <v>2022</v>
      </c>
      <c r="F535" s="2" t="s">
        <v>49</v>
      </c>
      <c r="G535" s="3">
        <v>1599567</v>
      </c>
      <c r="H535" s="2" t="str">
        <f t="shared" si="16"/>
        <v>2022-Q1</v>
      </c>
      <c r="I535" s="2" t="str">
        <f t="shared" si="17"/>
        <v>No</v>
      </c>
    </row>
    <row r="536" spans="1:9" ht="15" customHeight="1" x14ac:dyDescent="0.35">
      <c r="A536" s="2" t="s">
        <v>428</v>
      </c>
      <c r="B536" s="2" t="s">
        <v>29</v>
      </c>
      <c r="C536" s="2" t="s">
        <v>16</v>
      </c>
      <c r="D536" s="2" t="s">
        <v>80</v>
      </c>
      <c r="E536" s="2">
        <v>2022</v>
      </c>
      <c r="F536" s="2" t="s">
        <v>49</v>
      </c>
      <c r="G536" s="3">
        <v>1190683</v>
      </c>
      <c r="H536" s="2" t="str">
        <f t="shared" si="16"/>
        <v>2022-Q1</v>
      </c>
      <c r="I536" s="2" t="str">
        <f t="shared" si="17"/>
        <v>No</v>
      </c>
    </row>
    <row r="537" spans="1:9" ht="15" customHeight="1" x14ac:dyDescent="0.35">
      <c r="A537" s="2" t="s">
        <v>429</v>
      </c>
      <c r="B537" s="2" t="s">
        <v>29</v>
      </c>
      <c r="C537" s="2" t="s">
        <v>11</v>
      </c>
      <c r="D537" s="2" t="s">
        <v>80</v>
      </c>
      <c r="E537" s="2">
        <v>2022</v>
      </c>
      <c r="F537" s="2" t="s">
        <v>49</v>
      </c>
      <c r="G537" s="3">
        <v>1051637</v>
      </c>
      <c r="H537" s="2" t="str">
        <f t="shared" si="16"/>
        <v>2022-Q1</v>
      </c>
      <c r="I537" s="2" t="str">
        <f t="shared" si="17"/>
        <v>No</v>
      </c>
    </row>
    <row r="538" spans="1:9" ht="15" customHeight="1" x14ac:dyDescent="0.35">
      <c r="A538" s="2" t="s">
        <v>430</v>
      </c>
      <c r="B538" s="2" t="s">
        <v>29</v>
      </c>
      <c r="C538" s="2" t="s">
        <v>25</v>
      </c>
      <c r="D538" s="2" t="s">
        <v>80</v>
      </c>
      <c r="E538" s="2">
        <v>2022</v>
      </c>
      <c r="F538" s="2" t="s">
        <v>49</v>
      </c>
      <c r="G538" s="3">
        <v>264522</v>
      </c>
      <c r="H538" s="2" t="str">
        <f t="shared" si="16"/>
        <v>2022-Q1</v>
      </c>
      <c r="I538" s="2" t="str">
        <f t="shared" si="17"/>
        <v>No</v>
      </c>
    </row>
    <row r="539" spans="1:9" ht="15" customHeight="1" x14ac:dyDescent="0.35">
      <c r="A539" s="2" t="s">
        <v>431</v>
      </c>
      <c r="B539" s="2" t="s">
        <v>29</v>
      </c>
      <c r="C539" s="2" t="s">
        <v>11</v>
      </c>
      <c r="D539" s="2" t="s">
        <v>80</v>
      </c>
      <c r="E539" s="2">
        <v>2022</v>
      </c>
      <c r="F539" s="2" t="s">
        <v>49</v>
      </c>
      <c r="G539" s="3">
        <v>412015</v>
      </c>
      <c r="H539" s="2" t="str">
        <f t="shared" si="16"/>
        <v>2022-Q1</v>
      </c>
      <c r="I539" s="2" t="str">
        <f t="shared" si="17"/>
        <v>No</v>
      </c>
    </row>
    <row r="540" spans="1:9" ht="15" customHeight="1" x14ac:dyDescent="0.35">
      <c r="A540" s="2" t="s">
        <v>431</v>
      </c>
      <c r="B540" s="2" t="s">
        <v>29</v>
      </c>
      <c r="C540" s="2" t="s">
        <v>21</v>
      </c>
      <c r="D540" s="2" t="s">
        <v>80</v>
      </c>
      <c r="E540" s="2">
        <v>2022</v>
      </c>
      <c r="F540" s="2" t="s">
        <v>49</v>
      </c>
      <c r="G540" s="3">
        <v>1614571</v>
      </c>
      <c r="H540" s="2" t="str">
        <f t="shared" si="16"/>
        <v>2022-Q1</v>
      </c>
      <c r="I540" s="2" t="str">
        <f t="shared" si="17"/>
        <v>No</v>
      </c>
    </row>
    <row r="541" spans="1:9" ht="15" customHeight="1" x14ac:dyDescent="0.35">
      <c r="A541" s="2" t="s">
        <v>432</v>
      </c>
      <c r="B541" s="2" t="s">
        <v>29</v>
      </c>
      <c r="C541" s="2" t="s">
        <v>16</v>
      </c>
      <c r="D541" s="2" t="s">
        <v>80</v>
      </c>
      <c r="E541" s="2">
        <v>2022</v>
      </c>
      <c r="F541" s="2" t="s">
        <v>49</v>
      </c>
      <c r="G541" s="3">
        <v>254514</v>
      </c>
      <c r="H541" s="2" t="str">
        <f t="shared" si="16"/>
        <v>2022-Q1</v>
      </c>
      <c r="I541" s="2" t="str">
        <f t="shared" si="17"/>
        <v>No</v>
      </c>
    </row>
    <row r="542" spans="1:9" ht="15" customHeight="1" x14ac:dyDescent="0.35">
      <c r="A542" s="2" t="s">
        <v>433</v>
      </c>
      <c r="B542" s="2" t="s">
        <v>29</v>
      </c>
      <c r="C542" s="2" t="s">
        <v>11</v>
      </c>
      <c r="D542" s="2" t="s">
        <v>80</v>
      </c>
      <c r="E542" s="2">
        <v>2022</v>
      </c>
      <c r="F542" s="2" t="s">
        <v>49</v>
      </c>
      <c r="G542" s="3">
        <v>1444944</v>
      </c>
      <c r="H542" s="2" t="str">
        <f t="shared" si="16"/>
        <v>2022-Q1</v>
      </c>
      <c r="I542" s="2" t="str">
        <f t="shared" si="17"/>
        <v>No</v>
      </c>
    </row>
    <row r="543" spans="1:9" ht="15" customHeight="1" x14ac:dyDescent="0.35">
      <c r="A543" s="2" t="s">
        <v>433</v>
      </c>
      <c r="B543" s="2" t="s">
        <v>29</v>
      </c>
      <c r="C543" s="2" t="s">
        <v>11</v>
      </c>
      <c r="D543" s="2" t="s">
        <v>80</v>
      </c>
      <c r="E543" s="2">
        <v>2022</v>
      </c>
      <c r="F543" s="2" t="s">
        <v>49</v>
      </c>
      <c r="G543" s="3">
        <v>216677</v>
      </c>
      <c r="H543" s="2" t="str">
        <f t="shared" si="16"/>
        <v>2022-Q1</v>
      </c>
      <c r="I543" s="2" t="str">
        <f t="shared" si="17"/>
        <v>No</v>
      </c>
    </row>
    <row r="544" spans="1:9" ht="15" customHeight="1" x14ac:dyDescent="0.35">
      <c r="A544" s="2" t="s">
        <v>434</v>
      </c>
      <c r="B544" s="2" t="s">
        <v>29</v>
      </c>
      <c r="C544" s="2" t="s">
        <v>16</v>
      </c>
      <c r="D544" s="2" t="s">
        <v>80</v>
      </c>
      <c r="E544" s="2">
        <v>2022</v>
      </c>
      <c r="F544" s="2" t="s">
        <v>49</v>
      </c>
      <c r="G544" s="3">
        <v>792194</v>
      </c>
      <c r="H544" s="2" t="str">
        <f t="shared" si="16"/>
        <v>2022-Q1</v>
      </c>
      <c r="I544" s="2" t="str">
        <f t="shared" si="17"/>
        <v>No</v>
      </c>
    </row>
    <row r="545" spans="1:9" ht="15" customHeight="1" x14ac:dyDescent="0.35">
      <c r="A545" s="2" t="s">
        <v>435</v>
      </c>
      <c r="B545" s="2" t="s">
        <v>29</v>
      </c>
      <c r="C545" s="2" t="s">
        <v>11</v>
      </c>
      <c r="D545" s="2" t="s">
        <v>80</v>
      </c>
      <c r="E545" s="2">
        <v>2022</v>
      </c>
      <c r="F545" s="2" t="s">
        <v>49</v>
      </c>
      <c r="G545" s="3">
        <v>1068878</v>
      </c>
      <c r="H545" s="2" t="str">
        <f t="shared" si="16"/>
        <v>2022-Q1</v>
      </c>
      <c r="I545" s="2" t="str">
        <f t="shared" si="17"/>
        <v>No</v>
      </c>
    </row>
    <row r="546" spans="1:9" ht="15" customHeight="1" x14ac:dyDescent="0.35">
      <c r="A546" s="2" t="s">
        <v>436</v>
      </c>
      <c r="B546" s="2" t="s">
        <v>29</v>
      </c>
      <c r="C546" s="2" t="s">
        <v>16</v>
      </c>
      <c r="D546" s="2" t="s">
        <v>80</v>
      </c>
      <c r="E546" s="2">
        <v>2022</v>
      </c>
      <c r="F546" s="2" t="s">
        <v>49</v>
      </c>
      <c r="G546" s="3">
        <v>1045898</v>
      </c>
      <c r="H546" s="2" t="str">
        <f t="shared" si="16"/>
        <v>2022-Q1</v>
      </c>
      <c r="I546" s="2" t="str">
        <f t="shared" si="17"/>
        <v>No</v>
      </c>
    </row>
    <row r="547" spans="1:9" ht="15" customHeight="1" x14ac:dyDescent="0.35">
      <c r="A547" s="2" t="s">
        <v>437</v>
      </c>
      <c r="B547" s="2" t="s">
        <v>29</v>
      </c>
      <c r="C547" s="2" t="s">
        <v>21</v>
      </c>
      <c r="D547" s="2" t="s">
        <v>80</v>
      </c>
      <c r="E547" s="2">
        <v>2022</v>
      </c>
      <c r="F547" s="2" t="s">
        <v>49</v>
      </c>
      <c r="G547" s="3">
        <v>488346</v>
      </c>
      <c r="H547" s="2" t="str">
        <f t="shared" si="16"/>
        <v>2022-Q1</v>
      </c>
      <c r="I547" s="2" t="str">
        <f t="shared" si="17"/>
        <v>No</v>
      </c>
    </row>
    <row r="548" spans="1:9" ht="15" customHeight="1" x14ac:dyDescent="0.35">
      <c r="A548" s="2" t="s">
        <v>438</v>
      </c>
      <c r="B548" s="2" t="s">
        <v>29</v>
      </c>
      <c r="C548" s="2" t="s">
        <v>11</v>
      </c>
      <c r="D548" s="2" t="s">
        <v>80</v>
      </c>
      <c r="E548" s="2">
        <v>2022</v>
      </c>
      <c r="F548" s="2" t="s">
        <v>49</v>
      </c>
      <c r="G548" s="3">
        <v>1931891</v>
      </c>
      <c r="H548" s="2" t="str">
        <f t="shared" si="16"/>
        <v>2022-Q1</v>
      </c>
      <c r="I548" s="2" t="str">
        <f t="shared" si="17"/>
        <v>No</v>
      </c>
    </row>
    <row r="549" spans="1:9" ht="15" customHeight="1" x14ac:dyDescent="0.35">
      <c r="A549" s="2" t="s">
        <v>439</v>
      </c>
      <c r="B549" s="2" t="s">
        <v>29</v>
      </c>
      <c r="C549" s="2" t="s">
        <v>16</v>
      </c>
      <c r="D549" s="2" t="s">
        <v>80</v>
      </c>
      <c r="E549" s="2">
        <v>2022</v>
      </c>
      <c r="F549" s="2" t="s">
        <v>49</v>
      </c>
      <c r="G549" s="3">
        <v>365633</v>
      </c>
      <c r="H549" s="2" t="str">
        <f t="shared" si="16"/>
        <v>2022-Q1</v>
      </c>
      <c r="I549" s="2" t="str">
        <f t="shared" si="17"/>
        <v>No</v>
      </c>
    </row>
    <row r="550" spans="1:9" ht="15" customHeight="1" x14ac:dyDescent="0.35">
      <c r="A550" s="2" t="s">
        <v>439</v>
      </c>
      <c r="B550" s="2" t="s">
        <v>29</v>
      </c>
      <c r="C550" s="2" t="s">
        <v>21</v>
      </c>
      <c r="D550" s="2" t="s">
        <v>80</v>
      </c>
      <c r="E550" s="2">
        <v>2022</v>
      </c>
      <c r="F550" s="2" t="s">
        <v>49</v>
      </c>
      <c r="G550" s="3">
        <v>1960330</v>
      </c>
      <c r="H550" s="2" t="str">
        <f t="shared" si="16"/>
        <v>2022-Q1</v>
      </c>
      <c r="I550" s="2" t="str">
        <f t="shared" si="17"/>
        <v>No</v>
      </c>
    </row>
    <row r="551" spans="1:9" ht="15" customHeight="1" x14ac:dyDescent="0.35">
      <c r="A551" s="2" t="s">
        <v>440</v>
      </c>
      <c r="B551" s="2" t="s">
        <v>29</v>
      </c>
      <c r="C551" s="2" t="s">
        <v>25</v>
      </c>
      <c r="D551" s="2" t="s">
        <v>80</v>
      </c>
      <c r="E551" s="2">
        <v>2022</v>
      </c>
      <c r="F551" s="2" t="s">
        <v>49</v>
      </c>
      <c r="G551" s="3">
        <v>1549591</v>
      </c>
      <c r="H551" s="2" t="str">
        <f t="shared" si="16"/>
        <v>2022-Q1</v>
      </c>
      <c r="I551" s="2" t="str">
        <f t="shared" si="17"/>
        <v>No</v>
      </c>
    </row>
    <row r="552" spans="1:9" ht="15" customHeight="1" x14ac:dyDescent="0.35">
      <c r="A552" s="2" t="s">
        <v>441</v>
      </c>
      <c r="B552" s="2" t="s">
        <v>29</v>
      </c>
      <c r="C552" s="2" t="s">
        <v>11</v>
      </c>
      <c r="D552" s="2" t="s">
        <v>80</v>
      </c>
      <c r="E552" s="2">
        <v>2022</v>
      </c>
      <c r="F552" s="2" t="s">
        <v>49</v>
      </c>
      <c r="G552" s="3">
        <v>1396686</v>
      </c>
      <c r="H552" s="2" t="str">
        <f t="shared" si="16"/>
        <v>2022-Q1</v>
      </c>
      <c r="I552" s="2" t="str">
        <f t="shared" si="17"/>
        <v>No</v>
      </c>
    </row>
    <row r="553" spans="1:9" ht="15" customHeight="1" x14ac:dyDescent="0.35">
      <c r="A553" s="2" t="s">
        <v>442</v>
      </c>
      <c r="B553" s="2" t="s">
        <v>29</v>
      </c>
      <c r="C553" s="2" t="s">
        <v>16</v>
      </c>
      <c r="D553" s="2" t="s">
        <v>80</v>
      </c>
      <c r="E553" s="2">
        <v>2022</v>
      </c>
      <c r="F553" s="2" t="s">
        <v>49</v>
      </c>
      <c r="G553" s="3">
        <v>598158</v>
      </c>
      <c r="H553" s="2" t="str">
        <f t="shared" si="16"/>
        <v>2022-Q1</v>
      </c>
      <c r="I553" s="2" t="str">
        <f t="shared" si="17"/>
        <v>No</v>
      </c>
    </row>
    <row r="554" spans="1:9" ht="15" customHeight="1" x14ac:dyDescent="0.35">
      <c r="A554" s="2" t="s">
        <v>443</v>
      </c>
      <c r="B554" s="2" t="s">
        <v>29</v>
      </c>
      <c r="C554" s="2" t="s">
        <v>16</v>
      </c>
      <c r="D554" s="2" t="s">
        <v>80</v>
      </c>
      <c r="E554" s="2">
        <v>2022</v>
      </c>
      <c r="F554" s="2" t="s">
        <v>49</v>
      </c>
      <c r="G554" s="3">
        <v>1128891</v>
      </c>
      <c r="H554" s="2" t="str">
        <f t="shared" si="16"/>
        <v>2022-Q1</v>
      </c>
      <c r="I554" s="2" t="str">
        <f t="shared" si="17"/>
        <v>No</v>
      </c>
    </row>
    <row r="555" spans="1:9" ht="15" customHeight="1" x14ac:dyDescent="0.35">
      <c r="A555" s="2" t="s">
        <v>443</v>
      </c>
      <c r="B555" s="2" t="s">
        <v>29</v>
      </c>
      <c r="C555" s="2" t="s">
        <v>21</v>
      </c>
      <c r="D555" s="2" t="s">
        <v>80</v>
      </c>
      <c r="E555" s="2">
        <v>2022</v>
      </c>
      <c r="F555" s="2" t="s">
        <v>49</v>
      </c>
      <c r="G555" s="3">
        <v>1831381</v>
      </c>
      <c r="H555" s="2" t="str">
        <f t="shared" si="16"/>
        <v>2022-Q1</v>
      </c>
      <c r="I555" s="2" t="str">
        <f t="shared" si="17"/>
        <v>No</v>
      </c>
    </row>
    <row r="556" spans="1:9" ht="15" customHeight="1" x14ac:dyDescent="0.35">
      <c r="A556" s="2" t="s">
        <v>444</v>
      </c>
      <c r="B556" s="2" t="s">
        <v>29</v>
      </c>
      <c r="C556" s="2" t="s">
        <v>25</v>
      </c>
      <c r="D556" s="2" t="s">
        <v>80</v>
      </c>
      <c r="E556" s="2">
        <v>2022</v>
      </c>
      <c r="F556" s="2" t="s">
        <v>49</v>
      </c>
      <c r="G556" s="3">
        <v>974375</v>
      </c>
      <c r="H556" s="2" t="str">
        <f t="shared" si="16"/>
        <v>2022-Q1</v>
      </c>
      <c r="I556" s="2" t="str">
        <f t="shared" si="17"/>
        <v>No</v>
      </c>
    </row>
    <row r="557" spans="1:9" ht="15" customHeight="1" x14ac:dyDescent="0.35">
      <c r="A557" s="2" t="s">
        <v>445</v>
      </c>
      <c r="B557" s="2" t="s">
        <v>29</v>
      </c>
      <c r="C557" s="2" t="s">
        <v>11</v>
      </c>
      <c r="D557" s="2" t="s">
        <v>80</v>
      </c>
      <c r="E557" s="2">
        <v>2022</v>
      </c>
      <c r="F557" s="2" t="s">
        <v>49</v>
      </c>
      <c r="G557" s="3">
        <v>187578</v>
      </c>
      <c r="H557" s="2" t="str">
        <f t="shared" si="16"/>
        <v>2022-Q1</v>
      </c>
      <c r="I557" s="2" t="str">
        <f t="shared" si="17"/>
        <v>No</v>
      </c>
    </row>
    <row r="558" spans="1:9" ht="15" customHeight="1" x14ac:dyDescent="0.35">
      <c r="A558" s="2" t="s">
        <v>446</v>
      </c>
      <c r="B558" s="2" t="s">
        <v>29</v>
      </c>
      <c r="C558" s="2" t="s">
        <v>11</v>
      </c>
      <c r="D558" s="2" t="s">
        <v>80</v>
      </c>
      <c r="E558" s="2">
        <v>2022</v>
      </c>
      <c r="F558" s="2" t="s">
        <v>49</v>
      </c>
      <c r="G558" s="3">
        <v>1671909</v>
      </c>
      <c r="H558" s="2" t="str">
        <f t="shared" si="16"/>
        <v>2022-Q1</v>
      </c>
      <c r="I558" s="2" t="str">
        <f t="shared" si="17"/>
        <v>No</v>
      </c>
    </row>
    <row r="559" spans="1:9" ht="15" customHeight="1" x14ac:dyDescent="0.35">
      <c r="A559" s="2" t="s">
        <v>447</v>
      </c>
      <c r="B559" s="2" t="s">
        <v>29</v>
      </c>
      <c r="C559" s="2" t="s">
        <v>16</v>
      </c>
      <c r="D559" s="2" t="s">
        <v>80</v>
      </c>
      <c r="E559" s="2">
        <v>2022</v>
      </c>
      <c r="F559" s="2" t="s">
        <v>49</v>
      </c>
      <c r="G559" s="3">
        <v>1049303</v>
      </c>
      <c r="H559" s="2" t="str">
        <f t="shared" si="16"/>
        <v>2022-Q1</v>
      </c>
      <c r="I559" s="2" t="str">
        <f t="shared" si="17"/>
        <v>No</v>
      </c>
    </row>
    <row r="560" spans="1:9" ht="15" customHeight="1" x14ac:dyDescent="0.35">
      <c r="A560" s="2" t="s">
        <v>448</v>
      </c>
      <c r="B560" s="2" t="s">
        <v>29</v>
      </c>
      <c r="C560" s="2" t="s">
        <v>25</v>
      </c>
      <c r="D560" s="2" t="s">
        <v>80</v>
      </c>
      <c r="E560" s="2">
        <v>2022</v>
      </c>
      <c r="F560" s="2" t="s">
        <v>49</v>
      </c>
      <c r="G560" s="3">
        <v>255056</v>
      </c>
      <c r="H560" s="2" t="str">
        <f t="shared" si="16"/>
        <v>2022-Q1</v>
      </c>
      <c r="I560" s="2" t="str">
        <f t="shared" si="17"/>
        <v>No</v>
      </c>
    </row>
    <row r="561" spans="1:9" ht="15" customHeight="1" x14ac:dyDescent="0.35">
      <c r="A561" s="2" t="s">
        <v>449</v>
      </c>
      <c r="B561" s="2" t="s">
        <v>29</v>
      </c>
      <c r="C561" s="2" t="s">
        <v>11</v>
      </c>
      <c r="D561" s="2" t="s">
        <v>80</v>
      </c>
      <c r="E561" s="2">
        <v>2022</v>
      </c>
      <c r="F561" s="2" t="s">
        <v>49</v>
      </c>
      <c r="G561" s="3">
        <v>1013527</v>
      </c>
      <c r="H561" s="2" t="str">
        <f t="shared" si="16"/>
        <v>2022-Q1</v>
      </c>
      <c r="I561" s="2" t="str">
        <f t="shared" si="17"/>
        <v>No</v>
      </c>
    </row>
    <row r="562" spans="1:9" ht="15" customHeight="1" x14ac:dyDescent="0.35">
      <c r="A562" s="2" t="s">
        <v>449</v>
      </c>
      <c r="B562" s="2" t="s">
        <v>29</v>
      </c>
      <c r="C562" s="2" t="s">
        <v>16</v>
      </c>
      <c r="D562" s="2" t="s">
        <v>80</v>
      </c>
      <c r="E562" s="2">
        <v>2022</v>
      </c>
      <c r="F562" s="2" t="s">
        <v>49</v>
      </c>
      <c r="G562" s="3">
        <v>1409749</v>
      </c>
      <c r="H562" s="2" t="str">
        <f t="shared" si="16"/>
        <v>2022-Q1</v>
      </c>
      <c r="I562" s="2" t="str">
        <f t="shared" si="17"/>
        <v>No</v>
      </c>
    </row>
    <row r="563" spans="1:9" ht="15" customHeight="1" x14ac:dyDescent="0.35">
      <c r="A563" s="2" t="s">
        <v>450</v>
      </c>
      <c r="B563" s="2" t="s">
        <v>29</v>
      </c>
      <c r="C563" s="2" t="s">
        <v>11</v>
      </c>
      <c r="D563" s="2" t="s">
        <v>94</v>
      </c>
      <c r="E563" s="2">
        <v>2022</v>
      </c>
      <c r="F563" s="2" t="s">
        <v>49</v>
      </c>
      <c r="G563" s="3">
        <v>613870</v>
      </c>
      <c r="H563" s="2" t="str">
        <f t="shared" si="16"/>
        <v>2022-Q1</v>
      </c>
      <c r="I563" s="2" t="str">
        <f t="shared" si="17"/>
        <v>No</v>
      </c>
    </row>
    <row r="564" spans="1:9" ht="15" customHeight="1" x14ac:dyDescent="0.35">
      <c r="A564" s="2" t="s">
        <v>451</v>
      </c>
      <c r="B564" s="2" t="s">
        <v>29</v>
      </c>
      <c r="C564" s="2" t="s">
        <v>16</v>
      </c>
      <c r="D564" s="2" t="s">
        <v>94</v>
      </c>
      <c r="E564" s="2">
        <v>2022</v>
      </c>
      <c r="F564" s="2" t="s">
        <v>49</v>
      </c>
      <c r="G564" s="3">
        <v>1733091</v>
      </c>
      <c r="H564" s="2" t="str">
        <f t="shared" si="16"/>
        <v>2022-Q1</v>
      </c>
      <c r="I564" s="2" t="str">
        <f t="shared" si="17"/>
        <v>No</v>
      </c>
    </row>
    <row r="565" spans="1:9" ht="15" customHeight="1" x14ac:dyDescent="0.35">
      <c r="A565" s="2" t="s">
        <v>451</v>
      </c>
      <c r="B565" s="2" t="s">
        <v>29</v>
      </c>
      <c r="C565" s="2" t="s">
        <v>25</v>
      </c>
      <c r="D565" s="2" t="s">
        <v>94</v>
      </c>
      <c r="E565" s="2">
        <v>2022</v>
      </c>
      <c r="F565" s="2" t="s">
        <v>49</v>
      </c>
      <c r="G565" s="3">
        <v>350793</v>
      </c>
      <c r="H565" s="2" t="str">
        <f t="shared" si="16"/>
        <v>2022-Q1</v>
      </c>
      <c r="I565" s="2" t="str">
        <f t="shared" si="17"/>
        <v>No</v>
      </c>
    </row>
    <row r="566" spans="1:9" ht="15" customHeight="1" x14ac:dyDescent="0.35">
      <c r="A566" s="2" t="s">
        <v>452</v>
      </c>
      <c r="B566" s="2" t="s">
        <v>29</v>
      </c>
      <c r="C566" s="2" t="s">
        <v>11</v>
      </c>
      <c r="D566" s="2" t="s">
        <v>94</v>
      </c>
      <c r="E566" s="2">
        <v>2022</v>
      </c>
      <c r="F566" s="2" t="s">
        <v>49</v>
      </c>
      <c r="G566" s="3">
        <v>861955</v>
      </c>
      <c r="H566" s="2" t="str">
        <f t="shared" si="16"/>
        <v>2022-Q1</v>
      </c>
      <c r="I566" s="2" t="str">
        <f t="shared" si="17"/>
        <v>No</v>
      </c>
    </row>
    <row r="567" spans="1:9" ht="15" customHeight="1" x14ac:dyDescent="0.35">
      <c r="A567" s="2" t="s">
        <v>453</v>
      </c>
      <c r="B567" s="2" t="s">
        <v>29</v>
      </c>
      <c r="C567" s="2" t="s">
        <v>21</v>
      </c>
      <c r="D567" s="2" t="s">
        <v>94</v>
      </c>
      <c r="E567" s="2">
        <v>2022</v>
      </c>
      <c r="F567" s="2" t="s">
        <v>49</v>
      </c>
      <c r="G567" s="3">
        <v>1713238</v>
      </c>
      <c r="H567" s="2" t="str">
        <f t="shared" si="16"/>
        <v>2022-Q1</v>
      </c>
      <c r="I567" s="2" t="str">
        <f t="shared" si="17"/>
        <v>No</v>
      </c>
    </row>
    <row r="568" spans="1:9" ht="15" customHeight="1" x14ac:dyDescent="0.35">
      <c r="A568" s="2" t="s">
        <v>454</v>
      </c>
      <c r="B568" s="2" t="s">
        <v>29</v>
      </c>
      <c r="C568" s="2" t="s">
        <v>21</v>
      </c>
      <c r="D568" s="2" t="s">
        <v>94</v>
      </c>
      <c r="E568" s="2">
        <v>2022</v>
      </c>
      <c r="F568" s="2" t="s">
        <v>49</v>
      </c>
      <c r="G568" s="3">
        <v>1219629</v>
      </c>
      <c r="H568" s="2" t="str">
        <f t="shared" si="16"/>
        <v>2022-Q1</v>
      </c>
      <c r="I568" s="2" t="str">
        <f t="shared" si="17"/>
        <v>No</v>
      </c>
    </row>
    <row r="569" spans="1:9" ht="15" customHeight="1" x14ac:dyDescent="0.35">
      <c r="A569" s="2" t="s">
        <v>454</v>
      </c>
      <c r="B569" s="2" t="s">
        <v>29</v>
      </c>
      <c r="C569" s="2" t="s">
        <v>21</v>
      </c>
      <c r="D569" s="2" t="s">
        <v>94</v>
      </c>
      <c r="E569" s="2">
        <v>2022</v>
      </c>
      <c r="F569" s="2" t="s">
        <v>49</v>
      </c>
      <c r="G569" s="3">
        <v>1489196</v>
      </c>
      <c r="H569" s="2" t="str">
        <f t="shared" si="16"/>
        <v>2022-Q1</v>
      </c>
      <c r="I569" s="2" t="str">
        <f t="shared" si="17"/>
        <v>No</v>
      </c>
    </row>
    <row r="570" spans="1:9" ht="15" customHeight="1" x14ac:dyDescent="0.35">
      <c r="A570" s="2" t="s">
        <v>455</v>
      </c>
      <c r="B570" s="2" t="s">
        <v>29</v>
      </c>
      <c r="C570" s="2" t="s">
        <v>16</v>
      </c>
      <c r="D570" s="2" t="s">
        <v>94</v>
      </c>
      <c r="E570" s="2">
        <v>2022</v>
      </c>
      <c r="F570" s="2" t="s">
        <v>49</v>
      </c>
      <c r="G570" s="3">
        <v>1567746</v>
      </c>
      <c r="H570" s="2" t="str">
        <f t="shared" si="16"/>
        <v>2022-Q1</v>
      </c>
      <c r="I570" s="2" t="str">
        <f t="shared" si="17"/>
        <v>No</v>
      </c>
    </row>
    <row r="571" spans="1:9" ht="15" customHeight="1" x14ac:dyDescent="0.35">
      <c r="A571" s="2" t="s">
        <v>456</v>
      </c>
      <c r="B571" s="2" t="s">
        <v>29</v>
      </c>
      <c r="C571" s="2" t="s">
        <v>11</v>
      </c>
      <c r="D571" s="2" t="s">
        <v>94</v>
      </c>
      <c r="E571" s="2">
        <v>2022</v>
      </c>
      <c r="F571" s="2" t="s">
        <v>49</v>
      </c>
      <c r="G571" s="3">
        <v>1485483</v>
      </c>
      <c r="H571" s="2" t="str">
        <f t="shared" si="16"/>
        <v>2022-Q1</v>
      </c>
      <c r="I571" s="2" t="str">
        <f t="shared" si="17"/>
        <v>No</v>
      </c>
    </row>
    <row r="572" spans="1:9" ht="15" customHeight="1" x14ac:dyDescent="0.35">
      <c r="A572" s="2" t="s">
        <v>457</v>
      </c>
      <c r="B572" s="2" t="s">
        <v>29</v>
      </c>
      <c r="C572" s="2" t="s">
        <v>21</v>
      </c>
      <c r="D572" s="2" t="s">
        <v>94</v>
      </c>
      <c r="E572" s="2">
        <v>2022</v>
      </c>
      <c r="F572" s="2" t="s">
        <v>49</v>
      </c>
      <c r="G572" s="3">
        <v>1210891</v>
      </c>
      <c r="H572" s="2" t="str">
        <f t="shared" si="16"/>
        <v>2022-Q1</v>
      </c>
      <c r="I572" s="2" t="str">
        <f t="shared" si="17"/>
        <v>No</v>
      </c>
    </row>
    <row r="573" spans="1:9" ht="15" customHeight="1" x14ac:dyDescent="0.35">
      <c r="A573" s="2" t="s">
        <v>458</v>
      </c>
      <c r="B573" s="2" t="s">
        <v>29</v>
      </c>
      <c r="C573" s="2" t="s">
        <v>11</v>
      </c>
      <c r="D573" s="2" t="s">
        <v>94</v>
      </c>
      <c r="E573" s="2">
        <v>2022</v>
      </c>
      <c r="F573" s="2" t="s">
        <v>49</v>
      </c>
      <c r="G573" s="3">
        <v>1939148</v>
      </c>
      <c r="H573" s="2" t="str">
        <f t="shared" si="16"/>
        <v>2022-Q1</v>
      </c>
      <c r="I573" s="2" t="str">
        <f t="shared" si="17"/>
        <v>No</v>
      </c>
    </row>
    <row r="574" spans="1:9" ht="15" customHeight="1" x14ac:dyDescent="0.35">
      <c r="A574" s="2" t="s">
        <v>458</v>
      </c>
      <c r="B574" s="2" t="s">
        <v>29</v>
      </c>
      <c r="C574" s="2" t="s">
        <v>16</v>
      </c>
      <c r="D574" s="2" t="s">
        <v>94</v>
      </c>
      <c r="E574" s="2">
        <v>2022</v>
      </c>
      <c r="F574" s="2" t="s">
        <v>49</v>
      </c>
      <c r="G574" s="3">
        <v>1263558</v>
      </c>
      <c r="H574" s="2" t="str">
        <f t="shared" si="16"/>
        <v>2022-Q1</v>
      </c>
      <c r="I574" s="2" t="str">
        <f t="shared" si="17"/>
        <v>No</v>
      </c>
    </row>
    <row r="575" spans="1:9" ht="15" customHeight="1" x14ac:dyDescent="0.35">
      <c r="A575" s="2" t="s">
        <v>459</v>
      </c>
      <c r="B575" s="2" t="s">
        <v>29</v>
      </c>
      <c r="C575" s="2" t="s">
        <v>11</v>
      </c>
      <c r="D575" s="2" t="s">
        <v>94</v>
      </c>
      <c r="E575" s="2">
        <v>2022</v>
      </c>
      <c r="F575" s="2" t="s">
        <v>49</v>
      </c>
      <c r="G575" s="3">
        <v>633445</v>
      </c>
      <c r="H575" s="2" t="str">
        <f t="shared" si="16"/>
        <v>2022-Q1</v>
      </c>
      <c r="I575" s="2" t="str">
        <f t="shared" si="17"/>
        <v>No</v>
      </c>
    </row>
    <row r="576" spans="1:9" ht="15" customHeight="1" x14ac:dyDescent="0.35">
      <c r="A576" s="2" t="s">
        <v>460</v>
      </c>
      <c r="B576" s="2" t="s">
        <v>29</v>
      </c>
      <c r="C576" s="2" t="s">
        <v>16</v>
      </c>
      <c r="D576" s="2" t="s">
        <v>94</v>
      </c>
      <c r="E576" s="2">
        <v>2022</v>
      </c>
      <c r="F576" s="2" t="s">
        <v>49</v>
      </c>
      <c r="G576" s="3">
        <v>1293856</v>
      </c>
      <c r="H576" s="2" t="str">
        <f t="shared" si="16"/>
        <v>2022-Q1</v>
      </c>
      <c r="I576" s="2" t="str">
        <f t="shared" si="17"/>
        <v>No</v>
      </c>
    </row>
    <row r="577" spans="1:9" ht="15" customHeight="1" x14ac:dyDescent="0.35">
      <c r="A577" s="2" t="s">
        <v>461</v>
      </c>
      <c r="B577" s="2" t="s">
        <v>29</v>
      </c>
      <c r="C577" s="2" t="s">
        <v>11</v>
      </c>
      <c r="D577" s="2" t="s">
        <v>94</v>
      </c>
      <c r="E577" s="2">
        <v>2022</v>
      </c>
      <c r="F577" s="2" t="s">
        <v>49</v>
      </c>
      <c r="G577" s="3">
        <v>1794560</v>
      </c>
      <c r="H577" s="2" t="str">
        <f t="shared" si="16"/>
        <v>2022-Q1</v>
      </c>
      <c r="I577" s="2" t="str">
        <f t="shared" si="17"/>
        <v>No</v>
      </c>
    </row>
    <row r="578" spans="1:9" ht="15" customHeight="1" x14ac:dyDescent="0.35">
      <c r="A578" s="2" t="s">
        <v>462</v>
      </c>
      <c r="B578" s="2" t="s">
        <v>29</v>
      </c>
      <c r="C578" s="2" t="s">
        <v>11</v>
      </c>
      <c r="D578" s="2" t="s">
        <v>94</v>
      </c>
      <c r="E578" s="2">
        <v>2022</v>
      </c>
      <c r="F578" s="2" t="s">
        <v>49</v>
      </c>
      <c r="G578" s="3">
        <v>530477</v>
      </c>
      <c r="H578" s="2" t="str">
        <f t="shared" ref="H578:H641" si="18">E578&amp;"-"&amp;F578</f>
        <v>2022-Q1</v>
      </c>
      <c r="I578" s="2" t="str">
        <f t="shared" ref="I578:I641" si="19">IF(E578=2019,"Yes","No")</f>
        <v>No</v>
      </c>
    </row>
    <row r="579" spans="1:9" ht="15" customHeight="1" x14ac:dyDescent="0.35">
      <c r="A579" s="2" t="s">
        <v>462</v>
      </c>
      <c r="B579" s="2" t="s">
        <v>29</v>
      </c>
      <c r="C579" s="2" t="s">
        <v>21</v>
      </c>
      <c r="D579" s="2" t="s">
        <v>94</v>
      </c>
      <c r="E579" s="2">
        <v>2022</v>
      </c>
      <c r="F579" s="2" t="s">
        <v>49</v>
      </c>
      <c r="G579" s="3">
        <v>1482817</v>
      </c>
      <c r="H579" s="2" t="str">
        <f t="shared" si="18"/>
        <v>2022-Q1</v>
      </c>
      <c r="I579" s="2" t="str">
        <f t="shared" si="19"/>
        <v>No</v>
      </c>
    </row>
    <row r="580" spans="1:9" ht="15" customHeight="1" x14ac:dyDescent="0.35">
      <c r="A580" s="2" t="s">
        <v>463</v>
      </c>
      <c r="B580" s="2" t="s">
        <v>29</v>
      </c>
      <c r="C580" s="2" t="s">
        <v>11</v>
      </c>
      <c r="D580" s="2" t="s">
        <v>110</v>
      </c>
      <c r="E580" s="2">
        <v>2022</v>
      </c>
      <c r="F580" s="2" t="s">
        <v>111</v>
      </c>
      <c r="G580" s="3">
        <v>543637</v>
      </c>
      <c r="H580" s="2" t="str">
        <f t="shared" si="18"/>
        <v>2022-Q2</v>
      </c>
      <c r="I580" s="2" t="str">
        <f t="shared" si="19"/>
        <v>No</v>
      </c>
    </row>
    <row r="581" spans="1:9" ht="15" customHeight="1" x14ac:dyDescent="0.35">
      <c r="A581" s="2" t="s">
        <v>463</v>
      </c>
      <c r="B581" s="2" t="s">
        <v>29</v>
      </c>
      <c r="C581" s="2" t="s">
        <v>16</v>
      </c>
      <c r="D581" s="2" t="s">
        <v>110</v>
      </c>
      <c r="E581" s="2">
        <v>2022</v>
      </c>
      <c r="F581" s="2" t="s">
        <v>111</v>
      </c>
      <c r="G581" s="3">
        <v>793983</v>
      </c>
      <c r="H581" s="2" t="str">
        <f t="shared" si="18"/>
        <v>2022-Q2</v>
      </c>
      <c r="I581" s="2" t="str">
        <f t="shared" si="19"/>
        <v>No</v>
      </c>
    </row>
    <row r="582" spans="1:9" ht="15" customHeight="1" x14ac:dyDescent="0.35">
      <c r="A582" s="2" t="s">
        <v>464</v>
      </c>
      <c r="B582" s="2" t="s">
        <v>29</v>
      </c>
      <c r="C582" s="2" t="s">
        <v>11</v>
      </c>
      <c r="D582" s="2" t="s">
        <v>110</v>
      </c>
      <c r="E582" s="2">
        <v>2022</v>
      </c>
      <c r="F582" s="2" t="s">
        <v>111</v>
      </c>
      <c r="G582" s="3">
        <v>1736583</v>
      </c>
      <c r="H582" s="2" t="str">
        <f t="shared" si="18"/>
        <v>2022-Q2</v>
      </c>
      <c r="I582" s="2" t="str">
        <f t="shared" si="19"/>
        <v>No</v>
      </c>
    </row>
    <row r="583" spans="1:9" ht="15" customHeight="1" x14ac:dyDescent="0.35">
      <c r="A583" s="2" t="s">
        <v>465</v>
      </c>
      <c r="B583" s="2" t="s">
        <v>29</v>
      </c>
      <c r="C583" s="2" t="s">
        <v>25</v>
      </c>
      <c r="D583" s="2" t="s">
        <v>110</v>
      </c>
      <c r="E583" s="2">
        <v>2022</v>
      </c>
      <c r="F583" s="2" t="s">
        <v>111</v>
      </c>
      <c r="G583" s="3">
        <v>1366036</v>
      </c>
      <c r="H583" s="2" t="str">
        <f t="shared" si="18"/>
        <v>2022-Q2</v>
      </c>
      <c r="I583" s="2" t="str">
        <f t="shared" si="19"/>
        <v>No</v>
      </c>
    </row>
    <row r="584" spans="1:9" ht="15" customHeight="1" x14ac:dyDescent="0.35">
      <c r="A584" s="2" t="s">
        <v>466</v>
      </c>
      <c r="B584" s="2" t="s">
        <v>29</v>
      </c>
      <c r="C584" s="2" t="s">
        <v>25</v>
      </c>
      <c r="D584" s="2" t="s">
        <v>110</v>
      </c>
      <c r="E584" s="2">
        <v>2022</v>
      </c>
      <c r="F584" s="2" t="s">
        <v>111</v>
      </c>
      <c r="G584" s="3">
        <v>1695853</v>
      </c>
      <c r="H584" s="2" t="str">
        <f t="shared" si="18"/>
        <v>2022-Q2</v>
      </c>
      <c r="I584" s="2" t="str">
        <f t="shared" si="19"/>
        <v>No</v>
      </c>
    </row>
    <row r="585" spans="1:9" ht="15" customHeight="1" x14ac:dyDescent="0.35">
      <c r="A585" s="2" t="s">
        <v>467</v>
      </c>
      <c r="B585" s="2" t="s">
        <v>29</v>
      </c>
      <c r="C585" s="2" t="s">
        <v>11</v>
      </c>
      <c r="D585" s="2" t="s">
        <v>110</v>
      </c>
      <c r="E585" s="2">
        <v>2022</v>
      </c>
      <c r="F585" s="2" t="s">
        <v>111</v>
      </c>
      <c r="G585" s="3">
        <v>499256</v>
      </c>
      <c r="H585" s="2" t="str">
        <f t="shared" si="18"/>
        <v>2022-Q2</v>
      </c>
      <c r="I585" s="2" t="str">
        <f t="shared" si="19"/>
        <v>No</v>
      </c>
    </row>
    <row r="586" spans="1:9" ht="15" customHeight="1" x14ac:dyDescent="0.35">
      <c r="A586" s="2" t="s">
        <v>468</v>
      </c>
      <c r="B586" s="2" t="s">
        <v>29</v>
      </c>
      <c r="C586" s="2" t="s">
        <v>16</v>
      </c>
      <c r="D586" s="2" t="s">
        <v>110</v>
      </c>
      <c r="E586" s="2">
        <v>2022</v>
      </c>
      <c r="F586" s="2" t="s">
        <v>111</v>
      </c>
      <c r="G586" s="3">
        <v>1559663</v>
      </c>
      <c r="H586" s="2" t="str">
        <f t="shared" si="18"/>
        <v>2022-Q2</v>
      </c>
      <c r="I586" s="2" t="str">
        <f t="shared" si="19"/>
        <v>No</v>
      </c>
    </row>
    <row r="587" spans="1:9" ht="15" customHeight="1" x14ac:dyDescent="0.35">
      <c r="A587" s="2" t="s">
        <v>468</v>
      </c>
      <c r="B587" s="2" t="s">
        <v>29</v>
      </c>
      <c r="C587" s="2" t="s">
        <v>21</v>
      </c>
      <c r="D587" s="2" t="s">
        <v>110</v>
      </c>
      <c r="E587" s="2">
        <v>2022</v>
      </c>
      <c r="F587" s="2" t="s">
        <v>111</v>
      </c>
      <c r="G587" s="3">
        <v>1038488</v>
      </c>
      <c r="H587" s="2" t="str">
        <f t="shared" si="18"/>
        <v>2022-Q2</v>
      </c>
      <c r="I587" s="2" t="str">
        <f t="shared" si="19"/>
        <v>No</v>
      </c>
    </row>
    <row r="588" spans="1:9" ht="15" customHeight="1" x14ac:dyDescent="0.35">
      <c r="A588" s="2" t="s">
        <v>469</v>
      </c>
      <c r="B588" s="2" t="s">
        <v>29</v>
      </c>
      <c r="C588" s="2" t="s">
        <v>21</v>
      </c>
      <c r="D588" s="2" t="s">
        <v>110</v>
      </c>
      <c r="E588" s="2">
        <v>2022</v>
      </c>
      <c r="F588" s="2" t="s">
        <v>111</v>
      </c>
      <c r="G588" s="3">
        <v>630073</v>
      </c>
      <c r="H588" s="2" t="str">
        <f t="shared" si="18"/>
        <v>2022-Q2</v>
      </c>
      <c r="I588" s="2" t="str">
        <f t="shared" si="19"/>
        <v>No</v>
      </c>
    </row>
    <row r="589" spans="1:9" ht="15" customHeight="1" x14ac:dyDescent="0.35">
      <c r="A589" s="2" t="s">
        <v>470</v>
      </c>
      <c r="B589" s="2" t="s">
        <v>29</v>
      </c>
      <c r="C589" s="2" t="s">
        <v>16</v>
      </c>
      <c r="D589" s="2" t="s">
        <v>110</v>
      </c>
      <c r="E589" s="2">
        <v>2022</v>
      </c>
      <c r="F589" s="2" t="s">
        <v>111</v>
      </c>
      <c r="G589" s="3">
        <v>1886401</v>
      </c>
      <c r="H589" s="2" t="str">
        <f t="shared" si="18"/>
        <v>2022-Q2</v>
      </c>
      <c r="I589" s="2" t="str">
        <f t="shared" si="19"/>
        <v>No</v>
      </c>
    </row>
    <row r="590" spans="1:9" ht="15" customHeight="1" x14ac:dyDescent="0.35">
      <c r="A590" s="2" t="s">
        <v>470</v>
      </c>
      <c r="B590" s="2" t="s">
        <v>29</v>
      </c>
      <c r="C590" s="2" t="s">
        <v>25</v>
      </c>
      <c r="D590" s="2" t="s">
        <v>110</v>
      </c>
      <c r="E590" s="2">
        <v>2022</v>
      </c>
      <c r="F590" s="2" t="s">
        <v>111</v>
      </c>
      <c r="G590" s="3">
        <v>381940</v>
      </c>
      <c r="H590" s="2" t="str">
        <f t="shared" si="18"/>
        <v>2022-Q2</v>
      </c>
      <c r="I590" s="2" t="str">
        <f t="shared" si="19"/>
        <v>No</v>
      </c>
    </row>
    <row r="591" spans="1:9" ht="15" customHeight="1" x14ac:dyDescent="0.35">
      <c r="A591" s="2" t="s">
        <v>470</v>
      </c>
      <c r="B591" s="2" t="s">
        <v>29</v>
      </c>
      <c r="C591" s="2" t="s">
        <v>21</v>
      </c>
      <c r="D591" s="2" t="s">
        <v>110</v>
      </c>
      <c r="E591" s="2">
        <v>2022</v>
      </c>
      <c r="F591" s="2" t="s">
        <v>111</v>
      </c>
      <c r="G591" s="3">
        <v>1243853</v>
      </c>
      <c r="H591" s="2" t="str">
        <f t="shared" si="18"/>
        <v>2022-Q2</v>
      </c>
      <c r="I591" s="2" t="str">
        <f t="shared" si="19"/>
        <v>No</v>
      </c>
    </row>
    <row r="592" spans="1:9" ht="15" customHeight="1" x14ac:dyDescent="0.35">
      <c r="A592" s="2" t="s">
        <v>470</v>
      </c>
      <c r="B592" s="2" t="s">
        <v>29</v>
      </c>
      <c r="C592" s="2" t="s">
        <v>11</v>
      </c>
      <c r="D592" s="2" t="s">
        <v>110</v>
      </c>
      <c r="E592" s="2">
        <v>2022</v>
      </c>
      <c r="F592" s="2" t="s">
        <v>111</v>
      </c>
      <c r="G592" s="3">
        <v>717738</v>
      </c>
      <c r="H592" s="2" t="str">
        <f t="shared" si="18"/>
        <v>2022-Q2</v>
      </c>
      <c r="I592" s="2" t="str">
        <f t="shared" si="19"/>
        <v>No</v>
      </c>
    </row>
    <row r="593" spans="1:9" ht="15" customHeight="1" x14ac:dyDescent="0.35">
      <c r="A593" s="2" t="s">
        <v>471</v>
      </c>
      <c r="B593" s="2" t="s">
        <v>29</v>
      </c>
      <c r="C593" s="2" t="s">
        <v>11</v>
      </c>
      <c r="D593" s="2" t="s">
        <v>110</v>
      </c>
      <c r="E593" s="2">
        <v>2022</v>
      </c>
      <c r="F593" s="2" t="s">
        <v>111</v>
      </c>
      <c r="G593" s="3">
        <v>1922753</v>
      </c>
      <c r="H593" s="2" t="str">
        <f t="shared" si="18"/>
        <v>2022-Q2</v>
      </c>
      <c r="I593" s="2" t="str">
        <f t="shared" si="19"/>
        <v>No</v>
      </c>
    </row>
    <row r="594" spans="1:9" ht="15" customHeight="1" x14ac:dyDescent="0.35">
      <c r="A594" s="2" t="s">
        <v>472</v>
      </c>
      <c r="B594" s="2" t="s">
        <v>29</v>
      </c>
      <c r="C594" s="2" t="s">
        <v>21</v>
      </c>
      <c r="D594" s="2" t="s">
        <v>110</v>
      </c>
      <c r="E594" s="2">
        <v>2022</v>
      </c>
      <c r="F594" s="2" t="s">
        <v>111</v>
      </c>
      <c r="G594" s="3">
        <v>766953</v>
      </c>
      <c r="H594" s="2" t="str">
        <f t="shared" si="18"/>
        <v>2022-Q2</v>
      </c>
      <c r="I594" s="2" t="str">
        <f t="shared" si="19"/>
        <v>No</v>
      </c>
    </row>
    <row r="595" spans="1:9" ht="15" customHeight="1" x14ac:dyDescent="0.35">
      <c r="A595" s="2" t="s">
        <v>473</v>
      </c>
      <c r="B595" s="2" t="s">
        <v>29</v>
      </c>
      <c r="C595" s="2" t="s">
        <v>11</v>
      </c>
      <c r="D595" s="2" t="s">
        <v>110</v>
      </c>
      <c r="E595" s="2">
        <v>2022</v>
      </c>
      <c r="F595" s="2" t="s">
        <v>111</v>
      </c>
      <c r="G595" s="3">
        <v>1436558</v>
      </c>
      <c r="H595" s="2" t="str">
        <f t="shared" si="18"/>
        <v>2022-Q2</v>
      </c>
      <c r="I595" s="2" t="str">
        <f t="shared" si="19"/>
        <v>No</v>
      </c>
    </row>
    <row r="596" spans="1:9" ht="15" customHeight="1" x14ac:dyDescent="0.35">
      <c r="A596" s="2" t="s">
        <v>474</v>
      </c>
      <c r="B596" s="2" t="s">
        <v>29</v>
      </c>
      <c r="C596" s="2" t="s">
        <v>16</v>
      </c>
      <c r="D596" s="2" t="s">
        <v>110</v>
      </c>
      <c r="E596" s="2">
        <v>2022</v>
      </c>
      <c r="F596" s="2" t="s">
        <v>111</v>
      </c>
      <c r="G596" s="3">
        <v>359238</v>
      </c>
      <c r="H596" s="2" t="str">
        <f t="shared" si="18"/>
        <v>2022-Q2</v>
      </c>
      <c r="I596" s="2" t="str">
        <f t="shared" si="19"/>
        <v>No</v>
      </c>
    </row>
    <row r="597" spans="1:9" ht="15" customHeight="1" x14ac:dyDescent="0.35">
      <c r="A597" s="2" t="s">
        <v>475</v>
      </c>
      <c r="B597" s="2" t="s">
        <v>24</v>
      </c>
      <c r="C597" s="2" t="s">
        <v>25</v>
      </c>
      <c r="D597" s="2" t="s">
        <v>110</v>
      </c>
      <c r="E597" s="2">
        <v>2022</v>
      </c>
      <c r="F597" s="2" t="s">
        <v>111</v>
      </c>
      <c r="G597" s="3">
        <v>935260</v>
      </c>
      <c r="H597" s="2" t="str">
        <f t="shared" si="18"/>
        <v>2022-Q2</v>
      </c>
      <c r="I597" s="2" t="str">
        <f t="shared" si="19"/>
        <v>No</v>
      </c>
    </row>
    <row r="598" spans="1:9" ht="15" customHeight="1" x14ac:dyDescent="0.35">
      <c r="A598" s="2" t="s">
        <v>475</v>
      </c>
      <c r="B598" s="2" t="s">
        <v>24</v>
      </c>
      <c r="C598" s="2" t="s">
        <v>11</v>
      </c>
      <c r="D598" s="2" t="s">
        <v>110</v>
      </c>
      <c r="E598" s="2">
        <v>2022</v>
      </c>
      <c r="F598" s="2" t="s">
        <v>111</v>
      </c>
      <c r="G598" s="3">
        <v>1170290</v>
      </c>
      <c r="H598" s="2" t="str">
        <f t="shared" si="18"/>
        <v>2022-Q2</v>
      </c>
      <c r="I598" s="2" t="str">
        <f t="shared" si="19"/>
        <v>No</v>
      </c>
    </row>
    <row r="599" spans="1:9" ht="15" customHeight="1" x14ac:dyDescent="0.35">
      <c r="A599" s="2" t="s">
        <v>476</v>
      </c>
      <c r="B599" s="2" t="s">
        <v>24</v>
      </c>
      <c r="C599" s="2" t="s">
        <v>16</v>
      </c>
      <c r="D599" s="2" t="s">
        <v>110</v>
      </c>
      <c r="E599" s="2">
        <v>2022</v>
      </c>
      <c r="F599" s="2" t="s">
        <v>111</v>
      </c>
      <c r="G599" s="3">
        <v>1399111</v>
      </c>
      <c r="H599" s="2" t="str">
        <f t="shared" si="18"/>
        <v>2022-Q2</v>
      </c>
      <c r="I599" s="2" t="str">
        <f t="shared" si="19"/>
        <v>No</v>
      </c>
    </row>
    <row r="600" spans="1:9" ht="15" customHeight="1" x14ac:dyDescent="0.35">
      <c r="A600" s="2" t="s">
        <v>477</v>
      </c>
      <c r="B600" s="2" t="s">
        <v>24</v>
      </c>
      <c r="C600" s="2" t="s">
        <v>25</v>
      </c>
      <c r="D600" s="2" t="s">
        <v>110</v>
      </c>
      <c r="E600" s="2">
        <v>2022</v>
      </c>
      <c r="F600" s="2" t="s">
        <v>111</v>
      </c>
      <c r="G600" s="3">
        <v>1349313</v>
      </c>
      <c r="H600" s="2" t="str">
        <f t="shared" si="18"/>
        <v>2022-Q2</v>
      </c>
      <c r="I600" s="2" t="str">
        <f t="shared" si="19"/>
        <v>No</v>
      </c>
    </row>
    <row r="601" spans="1:9" ht="15" customHeight="1" x14ac:dyDescent="0.35">
      <c r="A601" s="2" t="s">
        <v>477</v>
      </c>
      <c r="B601" s="2" t="s">
        <v>24</v>
      </c>
      <c r="C601" s="2" t="s">
        <v>11</v>
      </c>
      <c r="D601" s="2" t="s">
        <v>110</v>
      </c>
      <c r="E601" s="2">
        <v>2022</v>
      </c>
      <c r="F601" s="2" t="s">
        <v>111</v>
      </c>
      <c r="G601" s="3">
        <v>1246102</v>
      </c>
      <c r="H601" s="2" t="str">
        <f t="shared" si="18"/>
        <v>2022-Q2</v>
      </c>
      <c r="I601" s="2" t="str">
        <f t="shared" si="19"/>
        <v>No</v>
      </c>
    </row>
    <row r="602" spans="1:9" ht="15" customHeight="1" x14ac:dyDescent="0.35">
      <c r="A602" s="2" t="s">
        <v>478</v>
      </c>
      <c r="B602" s="2" t="s">
        <v>24</v>
      </c>
      <c r="C602" s="2" t="s">
        <v>11</v>
      </c>
      <c r="D602" s="2" t="s">
        <v>110</v>
      </c>
      <c r="E602" s="2">
        <v>2022</v>
      </c>
      <c r="F602" s="2" t="s">
        <v>111</v>
      </c>
      <c r="G602" s="3">
        <v>1216686</v>
      </c>
      <c r="H602" s="2" t="str">
        <f t="shared" si="18"/>
        <v>2022-Q2</v>
      </c>
      <c r="I602" s="2" t="str">
        <f t="shared" si="19"/>
        <v>No</v>
      </c>
    </row>
    <row r="603" spans="1:9" ht="15" customHeight="1" x14ac:dyDescent="0.35">
      <c r="A603" s="2" t="s">
        <v>479</v>
      </c>
      <c r="B603" s="2" t="s">
        <v>24</v>
      </c>
      <c r="C603" s="2" t="s">
        <v>16</v>
      </c>
      <c r="D603" s="2" t="s">
        <v>110</v>
      </c>
      <c r="E603" s="2">
        <v>2022</v>
      </c>
      <c r="F603" s="2" t="s">
        <v>111</v>
      </c>
      <c r="G603" s="3">
        <v>553592</v>
      </c>
      <c r="H603" s="2" t="str">
        <f t="shared" si="18"/>
        <v>2022-Q2</v>
      </c>
      <c r="I603" s="2" t="str">
        <f t="shared" si="19"/>
        <v>No</v>
      </c>
    </row>
    <row r="604" spans="1:9" ht="15" customHeight="1" x14ac:dyDescent="0.35">
      <c r="A604" s="2" t="s">
        <v>479</v>
      </c>
      <c r="B604" s="2" t="s">
        <v>24</v>
      </c>
      <c r="C604" s="2" t="s">
        <v>21</v>
      </c>
      <c r="D604" s="2" t="s">
        <v>110</v>
      </c>
      <c r="E604" s="2">
        <v>2022</v>
      </c>
      <c r="F604" s="2" t="s">
        <v>111</v>
      </c>
      <c r="G604" s="3">
        <v>1613825</v>
      </c>
      <c r="H604" s="2" t="str">
        <f t="shared" si="18"/>
        <v>2022-Q2</v>
      </c>
      <c r="I604" s="2" t="str">
        <f t="shared" si="19"/>
        <v>No</v>
      </c>
    </row>
    <row r="605" spans="1:9" ht="15" customHeight="1" x14ac:dyDescent="0.35">
      <c r="A605" s="2" t="s">
        <v>480</v>
      </c>
      <c r="B605" s="2" t="s">
        <v>24</v>
      </c>
      <c r="C605" s="2" t="s">
        <v>11</v>
      </c>
      <c r="D605" s="2" t="s">
        <v>110</v>
      </c>
      <c r="E605" s="2">
        <v>2022</v>
      </c>
      <c r="F605" s="2" t="s">
        <v>111</v>
      </c>
      <c r="G605" s="3">
        <v>1151530</v>
      </c>
      <c r="H605" s="2" t="str">
        <f t="shared" si="18"/>
        <v>2022-Q2</v>
      </c>
      <c r="I605" s="2" t="str">
        <f t="shared" si="19"/>
        <v>No</v>
      </c>
    </row>
    <row r="606" spans="1:9" ht="15" customHeight="1" x14ac:dyDescent="0.35">
      <c r="A606" s="2" t="s">
        <v>480</v>
      </c>
      <c r="B606" s="2" t="s">
        <v>24</v>
      </c>
      <c r="C606" s="2" t="s">
        <v>11</v>
      </c>
      <c r="D606" s="2" t="s">
        <v>110</v>
      </c>
      <c r="E606" s="2">
        <v>2022</v>
      </c>
      <c r="F606" s="2" t="s">
        <v>111</v>
      </c>
      <c r="G606" s="3">
        <v>1505763</v>
      </c>
      <c r="H606" s="2" t="str">
        <f t="shared" si="18"/>
        <v>2022-Q2</v>
      </c>
      <c r="I606" s="2" t="str">
        <f t="shared" si="19"/>
        <v>No</v>
      </c>
    </row>
    <row r="607" spans="1:9" ht="15" customHeight="1" x14ac:dyDescent="0.35">
      <c r="A607" s="2" t="s">
        <v>481</v>
      </c>
      <c r="B607" s="2" t="s">
        <v>24</v>
      </c>
      <c r="C607" s="2" t="s">
        <v>16</v>
      </c>
      <c r="D607" s="2" t="s">
        <v>131</v>
      </c>
      <c r="E607" s="2">
        <v>2022</v>
      </c>
      <c r="F607" s="2" t="s">
        <v>111</v>
      </c>
      <c r="G607" s="3">
        <v>1654795</v>
      </c>
      <c r="H607" s="2" t="str">
        <f t="shared" si="18"/>
        <v>2022-Q2</v>
      </c>
      <c r="I607" s="2" t="str">
        <f t="shared" si="19"/>
        <v>No</v>
      </c>
    </row>
    <row r="608" spans="1:9" ht="15" customHeight="1" x14ac:dyDescent="0.35">
      <c r="A608" s="2" t="s">
        <v>482</v>
      </c>
      <c r="B608" s="2" t="s">
        <v>24</v>
      </c>
      <c r="C608" s="2" t="s">
        <v>11</v>
      </c>
      <c r="D608" s="2" t="s">
        <v>131</v>
      </c>
      <c r="E608" s="2">
        <v>2022</v>
      </c>
      <c r="F608" s="2" t="s">
        <v>111</v>
      </c>
      <c r="G608" s="3">
        <v>145397</v>
      </c>
      <c r="H608" s="2" t="str">
        <f t="shared" si="18"/>
        <v>2022-Q2</v>
      </c>
      <c r="I608" s="2" t="str">
        <f t="shared" si="19"/>
        <v>No</v>
      </c>
    </row>
    <row r="609" spans="1:9" ht="15" customHeight="1" x14ac:dyDescent="0.35">
      <c r="A609" s="2" t="s">
        <v>483</v>
      </c>
      <c r="B609" s="2" t="s">
        <v>24</v>
      </c>
      <c r="C609" s="2" t="s">
        <v>16</v>
      </c>
      <c r="D609" s="2" t="s">
        <v>131</v>
      </c>
      <c r="E609" s="2">
        <v>2022</v>
      </c>
      <c r="F609" s="2" t="s">
        <v>111</v>
      </c>
      <c r="G609" s="3">
        <v>162687</v>
      </c>
      <c r="H609" s="2" t="str">
        <f t="shared" si="18"/>
        <v>2022-Q2</v>
      </c>
      <c r="I609" s="2" t="str">
        <f t="shared" si="19"/>
        <v>No</v>
      </c>
    </row>
    <row r="610" spans="1:9" ht="15" customHeight="1" x14ac:dyDescent="0.35">
      <c r="A610" s="2" t="s">
        <v>484</v>
      </c>
      <c r="B610" s="2" t="s">
        <v>24</v>
      </c>
      <c r="C610" s="2" t="s">
        <v>21</v>
      </c>
      <c r="D610" s="2" t="s">
        <v>131</v>
      </c>
      <c r="E610" s="2">
        <v>2022</v>
      </c>
      <c r="F610" s="2" t="s">
        <v>111</v>
      </c>
      <c r="G610" s="3">
        <v>1015528</v>
      </c>
      <c r="H610" s="2" t="str">
        <f t="shared" si="18"/>
        <v>2022-Q2</v>
      </c>
      <c r="I610" s="2" t="str">
        <f t="shared" si="19"/>
        <v>No</v>
      </c>
    </row>
    <row r="611" spans="1:9" ht="15" customHeight="1" x14ac:dyDescent="0.35">
      <c r="A611" s="2" t="s">
        <v>485</v>
      </c>
      <c r="B611" s="2" t="s">
        <v>24</v>
      </c>
      <c r="C611" s="2" t="s">
        <v>11</v>
      </c>
      <c r="D611" s="2" t="s">
        <v>131</v>
      </c>
      <c r="E611" s="2">
        <v>2022</v>
      </c>
      <c r="F611" s="2" t="s">
        <v>111</v>
      </c>
      <c r="G611" s="3">
        <v>1695801</v>
      </c>
      <c r="H611" s="2" t="str">
        <f t="shared" si="18"/>
        <v>2022-Q2</v>
      </c>
      <c r="I611" s="2" t="str">
        <f t="shared" si="19"/>
        <v>No</v>
      </c>
    </row>
    <row r="612" spans="1:9" ht="15" customHeight="1" x14ac:dyDescent="0.35">
      <c r="A612" s="2" t="s">
        <v>486</v>
      </c>
      <c r="B612" s="2" t="s">
        <v>24</v>
      </c>
      <c r="C612" s="2" t="s">
        <v>21</v>
      </c>
      <c r="D612" s="2" t="s">
        <v>131</v>
      </c>
      <c r="E612" s="2">
        <v>2022</v>
      </c>
      <c r="F612" s="2" t="s">
        <v>111</v>
      </c>
      <c r="G612" s="3">
        <v>299988</v>
      </c>
      <c r="H612" s="2" t="str">
        <f t="shared" si="18"/>
        <v>2022-Q2</v>
      </c>
      <c r="I612" s="2" t="str">
        <f t="shared" si="19"/>
        <v>No</v>
      </c>
    </row>
    <row r="613" spans="1:9" ht="15" customHeight="1" x14ac:dyDescent="0.35">
      <c r="A613" s="2" t="s">
        <v>486</v>
      </c>
      <c r="B613" s="2" t="s">
        <v>24</v>
      </c>
      <c r="C613" s="2" t="s">
        <v>16</v>
      </c>
      <c r="D613" s="2" t="s">
        <v>131</v>
      </c>
      <c r="E613" s="2">
        <v>2022</v>
      </c>
      <c r="F613" s="2" t="s">
        <v>111</v>
      </c>
      <c r="G613" s="3">
        <v>1493683</v>
      </c>
      <c r="H613" s="2" t="str">
        <f t="shared" si="18"/>
        <v>2022-Q2</v>
      </c>
      <c r="I613" s="2" t="str">
        <f t="shared" si="19"/>
        <v>No</v>
      </c>
    </row>
    <row r="614" spans="1:9" ht="15" customHeight="1" x14ac:dyDescent="0.35">
      <c r="A614" s="2" t="s">
        <v>486</v>
      </c>
      <c r="B614" s="2" t="s">
        <v>24</v>
      </c>
      <c r="C614" s="2" t="s">
        <v>25</v>
      </c>
      <c r="D614" s="2" t="s">
        <v>131</v>
      </c>
      <c r="E614" s="2">
        <v>2022</v>
      </c>
      <c r="F614" s="2" t="s">
        <v>111</v>
      </c>
      <c r="G614" s="3">
        <v>633604</v>
      </c>
      <c r="H614" s="2" t="str">
        <f t="shared" si="18"/>
        <v>2022-Q2</v>
      </c>
      <c r="I614" s="2" t="str">
        <f t="shared" si="19"/>
        <v>No</v>
      </c>
    </row>
    <row r="615" spans="1:9" ht="15" customHeight="1" x14ac:dyDescent="0.35">
      <c r="A615" s="2" t="s">
        <v>487</v>
      </c>
      <c r="B615" s="2" t="s">
        <v>24</v>
      </c>
      <c r="C615" s="2" t="s">
        <v>11</v>
      </c>
      <c r="D615" s="2" t="s">
        <v>131</v>
      </c>
      <c r="E615" s="2">
        <v>2022</v>
      </c>
      <c r="F615" s="2" t="s">
        <v>111</v>
      </c>
      <c r="G615" s="3">
        <v>986904</v>
      </c>
      <c r="H615" s="2" t="str">
        <f t="shared" si="18"/>
        <v>2022-Q2</v>
      </c>
      <c r="I615" s="2" t="str">
        <f t="shared" si="19"/>
        <v>No</v>
      </c>
    </row>
    <row r="616" spans="1:9" ht="15" customHeight="1" x14ac:dyDescent="0.35">
      <c r="A616" s="2" t="s">
        <v>488</v>
      </c>
      <c r="B616" s="2" t="s">
        <v>24</v>
      </c>
      <c r="C616" s="2" t="s">
        <v>16</v>
      </c>
      <c r="D616" s="2" t="s">
        <v>131</v>
      </c>
      <c r="E616" s="2">
        <v>2022</v>
      </c>
      <c r="F616" s="2" t="s">
        <v>111</v>
      </c>
      <c r="G616" s="3">
        <v>1721416</v>
      </c>
      <c r="H616" s="2" t="str">
        <f t="shared" si="18"/>
        <v>2022-Q2</v>
      </c>
      <c r="I616" s="2" t="str">
        <f t="shared" si="19"/>
        <v>No</v>
      </c>
    </row>
    <row r="617" spans="1:9" ht="15" customHeight="1" x14ac:dyDescent="0.35">
      <c r="A617" s="2" t="s">
        <v>489</v>
      </c>
      <c r="B617" s="2" t="s">
        <v>24</v>
      </c>
      <c r="C617" s="2" t="s">
        <v>16</v>
      </c>
      <c r="D617" s="2" t="s">
        <v>131</v>
      </c>
      <c r="E617" s="2">
        <v>2022</v>
      </c>
      <c r="F617" s="2" t="s">
        <v>111</v>
      </c>
      <c r="G617" s="3">
        <v>768191</v>
      </c>
      <c r="H617" s="2" t="str">
        <f t="shared" si="18"/>
        <v>2022-Q2</v>
      </c>
      <c r="I617" s="2" t="str">
        <f t="shared" si="19"/>
        <v>No</v>
      </c>
    </row>
    <row r="618" spans="1:9" ht="15" customHeight="1" x14ac:dyDescent="0.35">
      <c r="A618" s="2" t="s">
        <v>489</v>
      </c>
      <c r="B618" s="2" t="s">
        <v>24</v>
      </c>
      <c r="C618" s="2" t="s">
        <v>21</v>
      </c>
      <c r="D618" s="2" t="s">
        <v>131</v>
      </c>
      <c r="E618" s="2">
        <v>2022</v>
      </c>
      <c r="F618" s="2" t="s">
        <v>111</v>
      </c>
      <c r="G618" s="3">
        <v>1678538</v>
      </c>
      <c r="H618" s="2" t="str">
        <f t="shared" si="18"/>
        <v>2022-Q2</v>
      </c>
      <c r="I618" s="2" t="str">
        <f t="shared" si="19"/>
        <v>No</v>
      </c>
    </row>
    <row r="619" spans="1:9" ht="15" customHeight="1" x14ac:dyDescent="0.35">
      <c r="A619" s="2" t="s">
        <v>490</v>
      </c>
      <c r="B619" s="2" t="s">
        <v>24</v>
      </c>
      <c r="C619" s="2" t="s">
        <v>25</v>
      </c>
      <c r="D619" s="2" t="s">
        <v>131</v>
      </c>
      <c r="E619" s="2">
        <v>2022</v>
      </c>
      <c r="F619" s="2" t="s">
        <v>111</v>
      </c>
      <c r="G619" s="3">
        <v>1482479</v>
      </c>
      <c r="H619" s="2" t="str">
        <f t="shared" si="18"/>
        <v>2022-Q2</v>
      </c>
      <c r="I619" s="2" t="str">
        <f t="shared" si="19"/>
        <v>No</v>
      </c>
    </row>
    <row r="620" spans="1:9" ht="15" customHeight="1" x14ac:dyDescent="0.35">
      <c r="A620" s="2" t="s">
        <v>491</v>
      </c>
      <c r="B620" s="2" t="s">
        <v>24</v>
      </c>
      <c r="C620" s="2" t="s">
        <v>11</v>
      </c>
      <c r="D620" s="2" t="s">
        <v>131</v>
      </c>
      <c r="E620" s="2">
        <v>2022</v>
      </c>
      <c r="F620" s="2" t="s">
        <v>111</v>
      </c>
      <c r="G620" s="3">
        <v>1360610</v>
      </c>
      <c r="H620" s="2" t="str">
        <f t="shared" si="18"/>
        <v>2022-Q2</v>
      </c>
      <c r="I620" s="2" t="str">
        <f t="shared" si="19"/>
        <v>No</v>
      </c>
    </row>
    <row r="621" spans="1:9" ht="15" customHeight="1" x14ac:dyDescent="0.35">
      <c r="A621" s="2" t="s">
        <v>492</v>
      </c>
      <c r="B621" s="2" t="s">
        <v>24</v>
      </c>
      <c r="C621" s="2" t="s">
        <v>11</v>
      </c>
      <c r="D621" s="2" t="s">
        <v>131</v>
      </c>
      <c r="E621" s="2">
        <v>2022</v>
      </c>
      <c r="F621" s="2" t="s">
        <v>111</v>
      </c>
      <c r="G621" s="3">
        <v>1327948</v>
      </c>
      <c r="H621" s="2" t="str">
        <f t="shared" si="18"/>
        <v>2022-Q2</v>
      </c>
      <c r="I621" s="2" t="str">
        <f t="shared" si="19"/>
        <v>No</v>
      </c>
    </row>
    <row r="622" spans="1:9" ht="15" customHeight="1" x14ac:dyDescent="0.35">
      <c r="A622" s="2" t="s">
        <v>493</v>
      </c>
      <c r="B622" s="2" t="s">
        <v>24</v>
      </c>
      <c r="C622" s="2" t="s">
        <v>16</v>
      </c>
      <c r="D622" s="2" t="s">
        <v>131</v>
      </c>
      <c r="E622" s="2">
        <v>2022</v>
      </c>
      <c r="F622" s="2" t="s">
        <v>111</v>
      </c>
      <c r="G622" s="3">
        <v>470519</v>
      </c>
      <c r="H622" s="2" t="str">
        <f t="shared" si="18"/>
        <v>2022-Q2</v>
      </c>
      <c r="I622" s="2" t="str">
        <f t="shared" si="19"/>
        <v>No</v>
      </c>
    </row>
    <row r="623" spans="1:9" ht="15" customHeight="1" x14ac:dyDescent="0.35">
      <c r="A623" s="2" t="s">
        <v>494</v>
      </c>
      <c r="B623" s="2" t="s">
        <v>24</v>
      </c>
      <c r="C623" s="2" t="s">
        <v>25</v>
      </c>
      <c r="D623" s="2" t="s">
        <v>131</v>
      </c>
      <c r="E623" s="2">
        <v>2022</v>
      </c>
      <c r="F623" s="2" t="s">
        <v>111</v>
      </c>
      <c r="G623" s="3">
        <v>1614083</v>
      </c>
      <c r="H623" s="2" t="str">
        <f t="shared" si="18"/>
        <v>2022-Q2</v>
      </c>
      <c r="I623" s="2" t="str">
        <f t="shared" si="19"/>
        <v>No</v>
      </c>
    </row>
    <row r="624" spans="1:9" ht="15" customHeight="1" x14ac:dyDescent="0.35">
      <c r="A624" s="2" t="s">
        <v>495</v>
      </c>
      <c r="B624" s="2" t="s">
        <v>24</v>
      </c>
      <c r="C624" s="2" t="s">
        <v>16</v>
      </c>
      <c r="D624" s="2" t="s">
        <v>131</v>
      </c>
      <c r="E624" s="2">
        <v>2022</v>
      </c>
      <c r="F624" s="2" t="s">
        <v>111</v>
      </c>
      <c r="G624" s="3">
        <v>443420</v>
      </c>
      <c r="H624" s="2" t="str">
        <f t="shared" si="18"/>
        <v>2022-Q2</v>
      </c>
      <c r="I624" s="2" t="str">
        <f t="shared" si="19"/>
        <v>No</v>
      </c>
    </row>
    <row r="625" spans="1:9" ht="15" customHeight="1" x14ac:dyDescent="0.35">
      <c r="A625" s="2" t="s">
        <v>495</v>
      </c>
      <c r="B625" s="2" t="s">
        <v>24</v>
      </c>
      <c r="C625" s="2" t="s">
        <v>11</v>
      </c>
      <c r="D625" s="2" t="s">
        <v>131</v>
      </c>
      <c r="E625" s="2">
        <v>2022</v>
      </c>
      <c r="F625" s="2" t="s">
        <v>111</v>
      </c>
      <c r="G625" s="3">
        <v>1545186</v>
      </c>
      <c r="H625" s="2" t="str">
        <f t="shared" si="18"/>
        <v>2022-Q2</v>
      </c>
      <c r="I625" s="2" t="str">
        <f t="shared" si="19"/>
        <v>No</v>
      </c>
    </row>
    <row r="626" spans="1:9" ht="15" customHeight="1" x14ac:dyDescent="0.35">
      <c r="A626" s="2" t="s">
        <v>496</v>
      </c>
      <c r="B626" s="2" t="s">
        <v>24</v>
      </c>
      <c r="C626" s="2" t="s">
        <v>16</v>
      </c>
      <c r="D626" s="2" t="s">
        <v>131</v>
      </c>
      <c r="E626" s="2">
        <v>2022</v>
      </c>
      <c r="F626" s="2" t="s">
        <v>111</v>
      </c>
      <c r="G626" s="3">
        <v>1051248</v>
      </c>
      <c r="H626" s="2" t="str">
        <f t="shared" si="18"/>
        <v>2022-Q2</v>
      </c>
      <c r="I626" s="2" t="str">
        <f t="shared" si="19"/>
        <v>No</v>
      </c>
    </row>
    <row r="627" spans="1:9" ht="15" customHeight="1" x14ac:dyDescent="0.35">
      <c r="A627" s="2" t="s">
        <v>496</v>
      </c>
      <c r="B627" s="2" t="s">
        <v>24</v>
      </c>
      <c r="C627" s="2" t="s">
        <v>11</v>
      </c>
      <c r="D627" s="2" t="s">
        <v>131</v>
      </c>
      <c r="E627" s="2">
        <v>2022</v>
      </c>
      <c r="F627" s="2" t="s">
        <v>111</v>
      </c>
      <c r="G627" s="3">
        <v>1517230</v>
      </c>
      <c r="H627" s="2" t="str">
        <f t="shared" si="18"/>
        <v>2022-Q2</v>
      </c>
      <c r="I627" s="2" t="str">
        <f t="shared" si="19"/>
        <v>No</v>
      </c>
    </row>
    <row r="628" spans="1:9" ht="15" customHeight="1" x14ac:dyDescent="0.35">
      <c r="A628" s="2" t="s">
        <v>497</v>
      </c>
      <c r="B628" s="2" t="s">
        <v>24</v>
      </c>
      <c r="C628" s="2" t="s">
        <v>25</v>
      </c>
      <c r="D628" s="2" t="s">
        <v>131</v>
      </c>
      <c r="E628" s="2">
        <v>2022</v>
      </c>
      <c r="F628" s="2" t="s">
        <v>111</v>
      </c>
      <c r="G628" s="3">
        <v>873882</v>
      </c>
      <c r="H628" s="2" t="str">
        <f t="shared" si="18"/>
        <v>2022-Q2</v>
      </c>
      <c r="I628" s="2" t="str">
        <f t="shared" si="19"/>
        <v>No</v>
      </c>
    </row>
    <row r="629" spans="1:9" ht="15" customHeight="1" x14ac:dyDescent="0.35">
      <c r="A629" s="2" t="s">
        <v>498</v>
      </c>
      <c r="B629" s="2" t="s">
        <v>24</v>
      </c>
      <c r="C629" s="2" t="s">
        <v>11</v>
      </c>
      <c r="D629" s="2" t="s">
        <v>131</v>
      </c>
      <c r="E629" s="2">
        <v>2022</v>
      </c>
      <c r="F629" s="2" t="s">
        <v>111</v>
      </c>
      <c r="G629" s="3">
        <v>754301</v>
      </c>
      <c r="H629" s="2" t="str">
        <f t="shared" si="18"/>
        <v>2022-Q2</v>
      </c>
      <c r="I629" s="2" t="str">
        <f t="shared" si="19"/>
        <v>No</v>
      </c>
    </row>
    <row r="630" spans="1:9" ht="15" customHeight="1" x14ac:dyDescent="0.35">
      <c r="A630" s="2" t="s">
        <v>499</v>
      </c>
      <c r="B630" s="2" t="s">
        <v>24</v>
      </c>
      <c r="C630" s="2" t="s">
        <v>21</v>
      </c>
      <c r="D630" s="2" t="s">
        <v>12</v>
      </c>
      <c r="E630" s="2">
        <v>2022</v>
      </c>
      <c r="F630" s="2" t="s">
        <v>13</v>
      </c>
      <c r="G630" s="3">
        <v>369331</v>
      </c>
      <c r="H630" s="2" t="str">
        <f t="shared" si="18"/>
        <v>2022-Q3</v>
      </c>
      <c r="I630" s="2" t="str">
        <f t="shared" si="19"/>
        <v>No</v>
      </c>
    </row>
    <row r="631" spans="1:9" ht="15" customHeight="1" x14ac:dyDescent="0.35">
      <c r="A631" s="2" t="s">
        <v>500</v>
      </c>
      <c r="B631" s="2" t="s">
        <v>18</v>
      </c>
      <c r="C631" s="2" t="s">
        <v>21</v>
      </c>
      <c r="D631" s="2" t="s">
        <v>12</v>
      </c>
      <c r="E631" s="2">
        <v>2022</v>
      </c>
      <c r="F631" s="2" t="s">
        <v>13</v>
      </c>
      <c r="G631" s="3">
        <v>1998763</v>
      </c>
      <c r="H631" s="2" t="str">
        <f t="shared" si="18"/>
        <v>2022-Q3</v>
      </c>
      <c r="I631" s="2" t="str">
        <f t="shared" si="19"/>
        <v>No</v>
      </c>
    </row>
    <row r="632" spans="1:9" ht="15" customHeight="1" x14ac:dyDescent="0.35">
      <c r="A632" s="2" t="s">
        <v>500</v>
      </c>
      <c r="B632" s="2" t="s">
        <v>18</v>
      </c>
      <c r="C632" s="2" t="s">
        <v>21</v>
      </c>
      <c r="D632" s="2" t="s">
        <v>12</v>
      </c>
      <c r="E632" s="2">
        <v>2022</v>
      </c>
      <c r="F632" s="2" t="s">
        <v>13</v>
      </c>
      <c r="G632" s="3">
        <v>1183220</v>
      </c>
      <c r="H632" s="2" t="str">
        <f t="shared" si="18"/>
        <v>2022-Q3</v>
      </c>
      <c r="I632" s="2" t="str">
        <f t="shared" si="19"/>
        <v>No</v>
      </c>
    </row>
    <row r="633" spans="1:9" ht="15" customHeight="1" x14ac:dyDescent="0.35">
      <c r="A633" s="2" t="s">
        <v>501</v>
      </c>
      <c r="B633" s="2" t="s">
        <v>18</v>
      </c>
      <c r="C633" s="2" t="s">
        <v>16</v>
      </c>
      <c r="D633" s="2" t="s">
        <v>12</v>
      </c>
      <c r="E633" s="2">
        <v>2022</v>
      </c>
      <c r="F633" s="2" t="s">
        <v>13</v>
      </c>
      <c r="G633" s="3">
        <v>798923</v>
      </c>
      <c r="H633" s="2" t="str">
        <f t="shared" si="18"/>
        <v>2022-Q3</v>
      </c>
      <c r="I633" s="2" t="str">
        <f t="shared" si="19"/>
        <v>No</v>
      </c>
    </row>
    <row r="634" spans="1:9" ht="15" customHeight="1" x14ac:dyDescent="0.35">
      <c r="A634" s="2" t="s">
        <v>502</v>
      </c>
      <c r="B634" s="2" t="s">
        <v>18</v>
      </c>
      <c r="C634" s="2" t="s">
        <v>16</v>
      </c>
      <c r="D634" s="2" t="s">
        <v>12</v>
      </c>
      <c r="E634" s="2">
        <v>2022</v>
      </c>
      <c r="F634" s="2" t="s">
        <v>13</v>
      </c>
      <c r="G634" s="3">
        <v>1156733</v>
      </c>
      <c r="H634" s="2" t="str">
        <f t="shared" si="18"/>
        <v>2022-Q3</v>
      </c>
      <c r="I634" s="2" t="str">
        <f t="shared" si="19"/>
        <v>No</v>
      </c>
    </row>
    <row r="635" spans="1:9" ht="15" customHeight="1" x14ac:dyDescent="0.35">
      <c r="A635" s="2" t="s">
        <v>502</v>
      </c>
      <c r="B635" s="2" t="s">
        <v>18</v>
      </c>
      <c r="C635" s="2" t="s">
        <v>11</v>
      </c>
      <c r="D635" s="2" t="s">
        <v>12</v>
      </c>
      <c r="E635" s="2">
        <v>2022</v>
      </c>
      <c r="F635" s="2" t="s">
        <v>13</v>
      </c>
      <c r="G635" s="3">
        <v>580939</v>
      </c>
      <c r="H635" s="2" t="str">
        <f t="shared" si="18"/>
        <v>2022-Q3</v>
      </c>
      <c r="I635" s="2" t="str">
        <f t="shared" si="19"/>
        <v>No</v>
      </c>
    </row>
    <row r="636" spans="1:9" ht="15" customHeight="1" x14ac:dyDescent="0.35">
      <c r="A636" s="2" t="s">
        <v>502</v>
      </c>
      <c r="B636" s="2" t="s">
        <v>18</v>
      </c>
      <c r="C636" s="2" t="s">
        <v>11</v>
      </c>
      <c r="D636" s="2" t="s">
        <v>12</v>
      </c>
      <c r="E636" s="2">
        <v>2022</v>
      </c>
      <c r="F636" s="2" t="s">
        <v>13</v>
      </c>
      <c r="G636" s="3">
        <v>648732</v>
      </c>
      <c r="H636" s="2" t="str">
        <f t="shared" si="18"/>
        <v>2022-Q3</v>
      </c>
      <c r="I636" s="2" t="str">
        <f t="shared" si="19"/>
        <v>No</v>
      </c>
    </row>
    <row r="637" spans="1:9" ht="15" customHeight="1" x14ac:dyDescent="0.35">
      <c r="A637" s="2" t="s">
        <v>502</v>
      </c>
      <c r="B637" s="2" t="s">
        <v>18</v>
      </c>
      <c r="C637" s="2" t="s">
        <v>11</v>
      </c>
      <c r="D637" s="2" t="s">
        <v>12</v>
      </c>
      <c r="E637" s="2">
        <v>2022</v>
      </c>
      <c r="F637" s="2" t="s">
        <v>13</v>
      </c>
      <c r="G637" s="3">
        <v>747931</v>
      </c>
      <c r="H637" s="2" t="str">
        <f t="shared" si="18"/>
        <v>2022-Q3</v>
      </c>
      <c r="I637" s="2" t="str">
        <f t="shared" si="19"/>
        <v>No</v>
      </c>
    </row>
    <row r="638" spans="1:9" ht="15" customHeight="1" x14ac:dyDescent="0.35">
      <c r="A638" s="2" t="s">
        <v>502</v>
      </c>
      <c r="B638" s="2" t="s">
        <v>18</v>
      </c>
      <c r="C638" s="2" t="s">
        <v>21</v>
      </c>
      <c r="D638" s="2" t="s">
        <v>12</v>
      </c>
      <c r="E638" s="2">
        <v>2022</v>
      </c>
      <c r="F638" s="2" t="s">
        <v>13</v>
      </c>
      <c r="G638" s="3">
        <v>936508</v>
      </c>
      <c r="H638" s="2" t="str">
        <f t="shared" si="18"/>
        <v>2022-Q3</v>
      </c>
      <c r="I638" s="2" t="str">
        <f t="shared" si="19"/>
        <v>No</v>
      </c>
    </row>
    <row r="639" spans="1:9" ht="15" customHeight="1" x14ac:dyDescent="0.35">
      <c r="A639" s="2" t="s">
        <v>503</v>
      </c>
      <c r="B639" s="2" t="s">
        <v>18</v>
      </c>
      <c r="C639" s="2" t="s">
        <v>16</v>
      </c>
      <c r="D639" s="2" t="s">
        <v>12</v>
      </c>
      <c r="E639" s="2">
        <v>2022</v>
      </c>
      <c r="F639" s="2" t="s">
        <v>13</v>
      </c>
      <c r="G639" s="3">
        <v>1929643</v>
      </c>
      <c r="H639" s="2" t="str">
        <f t="shared" si="18"/>
        <v>2022-Q3</v>
      </c>
      <c r="I639" s="2" t="str">
        <f t="shared" si="19"/>
        <v>No</v>
      </c>
    </row>
    <row r="640" spans="1:9" ht="15" customHeight="1" x14ac:dyDescent="0.35">
      <c r="A640" s="2" t="s">
        <v>504</v>
      </c>
      <c r="B640" s="2" t="s">
        <v>18</v>
      </c>
      <c r="C640" s="2" t="s">
        <v>11</v>
      </c>
      <c r="D640" s="2" t="s">
        <v>12</v>
      </c>
      <c r="E640" s="2">
        <v>2022</v>
      </c>
      <c r="F640" s="2" t="s">
        <v>13</v>
      </c>
      <c r="G640" s="3">
        <v>1967857</v>
      </c>
      <c r="H640" s="2" t="str">
        <f t="shared" si="18"/>
        <v>2022-Q3</v>
      </c>
      <c r="I640" s="2" t="str">
        <f t="shared" si="19"/>
        <v>No</v>
      </c>
    </row>
    <row r="641" spans="1:9" ht="15" customHeight="1" x14ac:dyDescent="0.35">
      <c r="A641" s="2" t="s">
        <v>505</v>
      </c>
      <c r="B641" s="2" t="s">
        <v>18</v>
      </c>
      <c r="C641" s="2" t="s">
        <v>11</v>
      </c>
      <c r="D641" s="2" t="s">
        <v>12</v>
      </c>
      <c r="E641" s="2">
        <v>2022</v>
      </c>
      <c r="F641" s="2" t="s">
        <v>13</v>
      </c>
      <c r="G641" s="3">
        <v>259975</v>
      </c>
      <c r="H641" s="2" t="str">
        <f t="shared" si="18"/>
        <v>2022-Q3</v>
      </c>
      <c r="I641" s="2" t="str">
        <f t="shared" si="19"/>
        <v>No</v>
      </c>
    </row>
    <row r="642" spans="1:9" ht="15" customHeight="1" x14ac:dyDescent="0.35">
      <c r="A642" s="2" t="s">
        <v>506</v>
      </c>
      <c r="B642" s="2" t="s">
        <v>18</v>
      </c>
      <c r="C642" s="2" t="s">
        <v>21</v>
      </c>
      <c r="D642" s="2" t="s">
        <v>12</v>
      </c>
      <c r="E642" s="2">
        <v>2022</v>
      </c>
      <c r="F642" s="2" t="s">
        <v>13</v>
      </c>
      <c r="G642" s="3">
        <v>1374309</v>
      </c>
      <c r="H642" s="2" t="str">
        <f t="shared" ref="H642:H705" si="20">E642&amp;"-"&amp;F642</f>
        <v>2022-Q3</v>
      </c>
      <c r="I642" s="2" t="str">
        <f t="shared" ref="I642:I705" si="21">IF(E642=2019,"Yes","No")</f>
        <v>No</v>
      </c>
    </row>
    <row r="643" spans="1:9" ht="15" customHeight="1" x14ac:dyDescent="0.35">
      <c r="A643" s="2" t="s">
        <v>506</v>
      </c>
      <c r="B643" s="2" t="s">
        <v>18</v>
      </c>
      <c r="C643" s="2" t="s">
        <v>11</v>
      </c>
      <c r="D643" s="2" t="s">
        <v>12</v>
      </c>
      <c r="E643" s="2">
        <v>2022</v>
      </c>
      <c r="F643" s="2" t="s">
        <v>13</v>
      </c>
      <c r="G643" s="3">
        <v>1430419</v>
      </c>
      <c r="H643" s="2" t="str">
        <f t="shared" si="20"/>
        <v>2022-Q3</v>
      </c>
      <c r="I643" s="2" t="str">
        <f t="shared" si="21"/>
        <v>No</v>
      </c>
    </row>
    <row r="644" spans="1:9" ht="15" customHeight="1" x14ac:dyDescent="0.35">
      <c r="A644" s="2" t="s">
        <v>507</v>
      </c>
      <c r="B644" s="2" t="s">
        <v>18</v>
      </c>
      <c r="C644" s="2" t="s">
        <v>16</v>
      </c>
      <c r="D644" s="2" t="s">
        <v>12</v>
      </c>
      <c r="E644" s="2">
        <v>2022</v>
      </c>
      <c r="F644" s="2" t="s">
        <v>13</v>
      </c>
      <c r="G644" s="3">
        <v>1648652</v>
      </c>
      <c r="H644" s="2" t="str">
        <f t="shared" si="20"/>
        <v>2022-Q3</v>
      </c>
      <c r="I644" s="2" t="str">
        <f t="shared" si="21"/>
        <v>No</v>
      </c>
    </row>
    <row r="645" spans="1:9" ht="15" customHeight="1" x14ac:dyDescent="0.35">
      <c r="A645" s="2" t="s">
        <v>508</v>
      </c>
      <c r="B645" s="2" t="s">
        <v>18</v>
      </c>
      <c r="C645" s="2" t="s">
        <v>11</v>
      </c>
      <c r="D645" s="2" t="s">
        <v>12</v>
      </c>
      <c r="E645" s="2">
        <v>2022</v>
      </c>
      <c r="F645" s="2" t="s">
        <v>13</v>
      </c>
      <c r="G645" s="3">
        <v>608773</v>
      </c>
      <c r="H645" s="2" t="str">
        <f t="shared" si="20"/>
        <v>2022-Q3</v>
      </c>
      <c r="I645" s="2" t="str">
        <f t="shared" si="21"/>
        <v>No</v>
      </c>
    </row>
    <row r="646" spans="1:9" ht="15" customHeight="1" x14ac:dyDescent="0.35">
      <c r="A646" s="2" t="s">
        <v>508</v>
      </c>
      <c r="B646" s="2" t="s">
        <v>18</v>
      </c>
      <c r="C646" s="2" t="s">
        <v>25</v>
      </c>
      <c r="D646" s="2" t="s">
        <v>12</v>
      </c>
      <c r="E646" s="2">
        <v>2022</v>
      </c>
      <c r="F646" s="2" t="s">
        <v>13</v>
      </c>
      <c r="G646" s="3">
        <v>1752206</v>
      </c>
      <c r="H646" s="2" t="str">
        <f t="shared" si="20"/>
        <v>2022-Q3</v>
      </c>
      <c r="I646" s="2" t="str">
        <f t="shared" si="21"/>
        <v>No</v>
      </c>
    </row>
    <row r="647" spans="1:9" ht="15" customHeight="1" x14ac:dyDescent="0.35">
      <c r="A647" s="2" t="s">
        <v>509</v>
      </c>
      <c r="B647" s="2" t="s">
        <v>18</v>
      </c>
      <c r="C647" s="2" t="s">
        <v>25</v>
      </c>
      <c r="D647" s="2" t="s">
        <v>12</v>
      </c>
      <c r="E647" s="2">
        <v>2022</v>
      </c>
      <c r="F647" s="2" t="s">
        <v>13</v>
      </c>
      <c r="G647" s="3">
        <v>678100</v>
      </c>
      <c r="H647" s="2" t="str">
        <f t="shared" si="20"/>
        <v>2022-Q3</v>
      </c>
      <c r="I647" s="2" t="str">
        <f t="shared" si="21"/>
        <v>No</v>
      </c>
    </row>
    <row r="648" spans="1:9" ht="15" customHeight="1" x14ac:dyDescent="0.35">
      <c r="A648" s="2" t="s">
        <v>510</v>
      </c>
      <c r="B648" s="2" t="s">
        <v>18</v>
      </c>
      <c r="C648" s="2" t="s">
        <v>11</v>
      </c>
      <c r="D648" s="2" t="s">
        <v>12</v>
      </c>
      <c r="E648" s="2">
        <v>2022</v>
      </c>
      <c r="F648" s="2" t="s">
        <v>13</v>
      </c>
      <c r="G648" s="3">
        <v>1681097</v>
      </c>
      <c r="H648" s="2" t="str">
        <f t="shared" si="20"/>
        <v>2022-Q3</v>
      </c>
      <c r="I648" s="2" t="str">
        <f t="shared" si="21"/>
        <v>No</v>
      </c>
    </row>
    <row r="649" spans="1:9" ht="15" customHeight="1" x14ac:dyDescent="0.35">
      <c r="A649" s="2" t="s">
        <v>511</v>
      </c>
      <c r="B649" s="2" t="s">
        <v>18</v>
      </c>
      <c r="C649" s="2" t="s">
        <v>21</v>
      </c>
      <c r="D649" s="2" t="s">
        <v>22</v>
      </c>
      <c r="E649" s="2">
        <v>2022</v>
      </c>
      <c r="F649" s="2" t="s">
        <v>13</v>
      </c>
      <c r="G649" s="3">
        <v>1982446</v>
      </c>
      <c r="H649" s="2" t="str">
        <f t="shared" si="20"/>
        <v>2022-Q3</v>
      </c>
      <c r="I649" s="2" t="str">
        <f t="shared" si="21"/>
        <v>No</v>
      </c>
    </row>
    <row r="650" spans="1:9" ht="15" customHeight="1" x14ac:dyDescent="0.35">
      <c r="A650" s="2" t="s">
        <v>511</v>
      </c>
      <c r="B650" s="2" t="s">
        <v>18</v>
      </c>
      <c r="C650" s="2" t="s">
        <v>16</v>
      </c>
      <c r="D650" s="2" t="s">
        <v>22</v>
      </c>
      <c r="E650" s="2">
        <v>2022</v>
      </c>
      <c r="F650" s="2" t="s">
        <v>13</v>
      </c>
      <c r="G650" s="3">
        <v>615129</v>
      </c>
      <c r="H650" s="2" t="str">
        <f t="shared" si="20"/>
        <v>2022-Q3</v>
      </c>
      <c r="I650" s="2" t="str">
        <f t="shared" si="21"/>
        <v>No</v>
      </c>
    </row>
    <row r="651" spans="1:9" ht="15" customHeight="1" x14ac:dyDescent="0.35">
      <c r="A651" s="2" t="s">
        <v>512</v>
      </c>
      <c r="B651" s="2" t="s">
        <v>18</v>
      </c>
      <c r="C651" s="2" t="s">
        <v>21</v>
      </c>
      <c r="D651" s="2" t="s">
        <v>22</v>
      </c>
      <c r="E651" s="2">
        <v>2022</v>
      </c>
      <c r="F651" s="2" t="s">
        <v>13</v>
      </c>
      <c r="G651" s="3">
        <v>1953112</v>
      </c>
      <c r="H651" s="2" t="str">
        <f t="shared" si="20"/>
        <v>2022-Q3</v>
      </c>
      <c r="I651" s="2" t="str">
        <f t="shared" si="21"/>
        <v>No</v>
      </c>
    </row>
    <row r="652" spans="1:9" ht="15" customHeight="1" x14ac:dyDescent="0.35">
      <c r="A652" s="2" t="s">
        <v>512</v>
      </c>
      <c r="B652" s="2" t="s">
        <v>18</v>
      </c>
      <c r="C652" s="2" t="s">
        <v>21</v>
      </c>
      <c r="D652" s="2" t="s">
        <v>22</v>
      </c>
      <c r="E652" s="2">
        <v>2022</v>
      </c>
      <c r="F652" s="2" t="s">
        <v>13</v>
      </c>
      <c r="G652" s="3">
        <v>1334216</v>
      </c>
      <c r="H652" s="2" t="str">
        <f t="shared" si="20"/>
        <v>2022-Q3</v>
      </c>
      <c r="I652" s="2" t="str">
        <f t="shared" si="21"/>
        <v>No</v>
      </c>
    </row>
    <row r="653" spans="1:9" ht="15" customHeight="1" x14ac:dyDescent="0.35">
      <c r="A653" s="2" t="s">
        <v>513</v>
      </c>
      <c r="B653" s="2" t="s">
        <v>18</v>
      </c>
      <c r="C653" s="2" t="s">
        <v>11</v>
      </c>
      <c r="D653" s="2" t="s">
        <v>22</v>
      </c>
      <c r="E653" s="2">
        <v>2022</v>
      </c>
      <c r="F653" s="2" t="s">
        <v>13</v>
      </c>
      <c r="G653" s="3">
        <v>923297</v>
      </c>
      <c r="H653" s="2" t="str">
        <f t="shared" si="20"/>
        <v>2022-Q3</v>
      </c>
      <c r="I653" s="2" t="str">
        <f t="shared" si="21"/>
        <v>No</v>
      </c>
    </row>
    <row r="654" spans="1:9" ht="15" customHeight="1" x14ac:dyDescent="0.35">
      <c r="A654" s="2" t="s">
        <v>513</v>
      </c>
      <c r="B654" s="2" t="s">
        <v>18</v>
      </c>
      <c r="C654" s="2" t="s">
        <v>16</v>
      </c>
      <c r="D654" s="2" t="s">
        <v>22</v>
      </c>
      <c r="E654" s="2">
        <v>2022</v>
      </c>
      <c r="F654" s="2" t="s">
        <v>13</v>
      </c>
      <c r="G654" s="3">
        <v>1060035</v>
      </c>
      <c r="H654" s="2" t="str">
        <f t="shared" si="20"/>
        <v>2022-Q3</v>
      </c>
      <c r="I654" s="2" t="str">
        <f t="shared" si="21"/>
        <v>No</v>
      </c>
    </row>
    <row r="655" spans="1:9" ht="15" customHeight="1" x14ac:dyDescent="0.35">
      <c r="A655" s="2" t="s">
        <v>513</v>
      </c>
      <c r="B655" s="2" t="s">
        <v>18</v>
      </c>
      <c r="C655" s="2" t="s">
        <v>25</v>
      </c>
      <c r="D655" s="2" t="s">
        <v>22</v>
      </c>
      <c r="E655" s="2">
        <v>2022</v>
      </c>
      <c r="F655" s="2" t="s">
        <v>13</v>
      </c>
      <c r="G655" s="3">
        <v>1213464</v>
      </c>
      <c r="H655" s="2" t="str">
        <f t="shared" si="20"/>
        <v>2022-Q3</v>
      </c>
      <c r="I655" s="2" t="str">
        <f t="shared" si="21"/>
        <v>No</v>
      </c>
    </row>
    <row r="656" spans="1:9" ht="15" customHeight="1" x14ac:dyDescent="0.35">
      <c r="A656" s="2" t="s">
        <v>514</v>
      </c>
      <c r="B656" s="2" t="s">
        <v>18</v>
      </c>
      <c r="C656" s="2" t="s">
        <v>11</v>
      </c>
      <c r="D656" s="2" t="s">
        <v>22</v>
      </c>
      <c r="E656" s="2">
        <v>2022</v>
      </c>
      <c r="F656" s="2" t="s">
        <v>13</v>
      </c>
      <c r="G656" s="3">
        <v>1441704</v>
      </c>
      <c r="H656" s="2" t="str">
        <f t="shared" si="20"/>
        <v>2022-Q3</v>
      </c>
      <c r="I656" s="2" t="str">
        <f t="shared" si="21"/>
        <v>No</v>
      </c>
    </row>
    <row r="657" spans="1:9" ht="15" customHeight="1" x14ac:dyDescent="0.35">
      <c r="A657" s="2" t="s">
        <v>515</v>
      </c>
      <c r="B657" s="2" t="s">
        <v>18</v>
      </c>
      <c r="C657" s="2" t="s">
        <v>21</v>
      </c>
      <c r="D657" s="2" t="s">
        <v>22</v>
      </c>
      <c r="E657" s="2">
        <v>2022</v>
      </c>
      <c r="F657" s="2" t="s">
        <v>13</v>
      </c>
      <c r="G657" s="3">
        <v>509308</v>
      </c>
      <c r="H657" s="2" t="str">
        <f t="shared" si="20"/>
        <v>2022-Q3</v>
      </c>
      <c r="I657" s="2" t="str">
        <f t="shared" si="21"/>
        <v>No</v>
      </c>
    </row>
    <row r="658" spans="1:9" ht="15" customHeight="1" x14ac:dyDescent="0.35">
      <c r="A658" s="2" t="s">
        <v>515</v>
      </c>
      <c r="B658" s="2" t="s">
        <v>18</v>
      </c>
      <c r="C658" s="2" t="s">
        <v>11</v>
      </c>
      <c r="D658" s="2" t="s">
        <v>22</v>
      </c>
      <c r="E658" s="2">
        <v>2022</v>
      </c>
      <c r="F658" s="2" t="s">
        <v>13</v>
      </c>
      <c r="G658" s="3">
        <v>795151</v>
      </c>
      <c r="H658" s="2" t="str">
        <f t="shared" si="20"/>
        <v>2022-Q3</v>
      </c>
      <c r="I658" s="2" t="str">
        <f t="shared" si="21"/>
        <v>No</v>
      </c>
    </row>
    <row r="659" spans="1:9" ht="15" customHeight="1" x14ac:dyDescent="0.35">
      <c r="A659" s="2" t="s">
        <v>516</v>
      </c>
      <c r="B659" s="2" t="s">
        <v>18</v>
      </c>
      <c r="C659" s="2" t="s">
        <v>16</v>
      </c>
      <c r="D659" s="2" t="s">
        <v>22</v>
      </c>
      <c r="E659" s="2">
        <v>2022</v>
      </c>
      <c r="F659" s="2" t="s">
        <v>13</v>
      </c>
      <c r="G659" s="3">
        <v>970001</v>
      </c>
      <c r="H659" s="2" t="str">
        <f t="shared" si="20"/>
        <v>2022-Q3</v>
      </c>
      <c r="I659" s="2" t="str">
        <f t="shared" si="21"/>
        <v>No</v>
      </c>
    </row>
    <row r="660" spans="1:9" ht="15" customHeight="1" x14ac:dyDescent="0.35">
      <c r="A660" s="2" t="s">
        <v>517</v>
      </c>
      <c r="B660" s="2" t="s">
        <v>18</v>
      </c>
      <c r="C660" s="2" t="s">
        <v>25</v>
      </c>
      <c r="D660" s="2" t="s">
        <v>22</v>
      </c>
      <c r="E660" s="2">
        <v>2022</v>
      </c>
      <c r="F660" s="2" t="s">
        <v>13</v>
      </c>
      <c r="G660" s="3">
        <v>1323102</v>
      </c>
      <c r="H660" s="2" t="str">
        <f t="shared" si="20"/>
        <v>2022-Q3</v>
      </c>
      <c r="I660" s="2" t="str">
        <f t="shared" si="21"/>
        <v>No</v>
      </c>
    </row>
    <row r="661" spans="1:9" ht="15" customHeight="1" x14ac:dyDescent="0.35">
      <c r="A661" s="2" t="s">
        <v>518</v>
      </c>
      <c r="B661" s="2" t="s">
        <v>18</v>
      </c>
      <c r="C661" s="2" t="s">
        <v>11</v>
      </c>
      <c r="D661" s="2" t="s">
        <v>22</v>
      </c>
      <c r="E661" s="2">
        <v>2022</v>
      </c>
      <c r="F661" s="2" t="s">
        <v>13</v>
      </c>
      <c r="G661" s="3">
        <v>1719288</v>
      </c>
      <c r="H661" s="2" t="str">
        <f t="shared" si="20"/>
        <v>2022-Q3</v>
      </c>
      <c r="I661" s="2" t="str">
        <f t="shared" si="21"/>
        <v>No</v>
      </c>
    </row>
    <row r="662" spans="1:9" ht="15" customHeight="1" x14ac:dyDescent="0.35">
      <c r="A662" s="2" t="s">
        <v>519</v>
      </c>
      <c r="B662" s="2" t="s">
        <v>18</v>
      </c>
      <c r="C662" s="2" t="s">
        <v>16</v>
      </c>
      <c r="D662" s="2" t="s">
        <v>22</v>
      </c>
      <c r="E662" s="2">
        <v>2022</v>
      </c>
      <c r="F662" s="2" t="s">
        <v>13</v>
      </c>
      <c r="G662" s="3">
        <v>545305</v>
      </c>
      <c r="H662" s="2" t="str">
        <f t="shared" si="20"/>
        <v>2022-Q3</v>
      </c>
      <c r="I662" s="2" t="str">
        <f t="shared" si="21"/>
        <v>No</v>
      </c>
    </row>
    <row r="663" spans="1:9" ht="15" customHeight="1" x14ac:dyDescent="0.35">
      <c r="A663" s="2" t="s">
        <v>519</v>
      </c>
      <c r="B663" s="2" t="s">
        <v>18</v>
      </c>
      <c r="C663" s="2" t="s">
        <v>11</v>
      </c>
      <c r="D663" s="2" t="s">
        <v>22</v>
      </c>
      <c r="E663" s="2">
        <v>2022</v>
      </c>
      <c r="F663" s="2" t="s">
        <v>13</v>
      </c>
      <c r="G663" s="3">
        <v>1100065</v>
      </c>
      <c r="H663" s="2" t="str">
        <f t="shared" si="20"/>
        <v>2022-Q3</v>
      </c>
      <c r="I663" s="2" t="str">
        <f t="shared" si="21"/>
        <v>No</v>
      </c>
    </row>
    <row r="664" spans="1:9" ht="15" customHeight="1" x14ac:dyDescent="0.35">
      <c r="A664" s="2" t="s">
        <v>520</v>
      </c>
      <c r="B664" s="2" t="s">
        <v>18</v>
      </c>
      <c r="C664" s="2" t="s">
        <v>25</v>
      </c>
      <c r="D664" s="2" t="s">
        <v>22</v>
      </c>
      <c r="E664" s="2">
        <v>2022</v>
      </c>
      <c r="F664" s="2" t="s">
        <v>13</v>
      </c>
      <c r="G664" s="3">
        <v>1178486</v>
      </c>
      <c r="H664" s="2" t="str">
        <f t="shared" si="20"/>
        <v>2022-Q3</v>
      </c>
      <c r="I664" s="2" t="str">
        <f t="shared" si="21"/>
        <v>No</v>
      </c>
    </row>
    <row r="665" spans="1:9" ht="15" customHeight="1" x14ac:dyDescent="0.35">
      <c r="A665" s="2" t="s">
        <v>521</v>
      </c>
      <c r="B665" s="2" t="s">
        <v>18</v>
      </c>
      <c r="C665" s="2" t="s">
        <v>11</v>
      </c>
      <c r="D665" s="2" t="s">
        <v>22</v>
      </c>
      <c r="E665" s="2">
        <v>2022</v>
      </c>
      <c r="F665" s="2" t="s">
        <v>13</v>
      </c>
      <c r="G665" s="3">
        <v>725587</v>
      </c>
      <c r="H665" s="2" t="str">
        <f t="shared" si="20"/>
        <v>2022-Q3</v>
      </c>
      <c r="I665" s="2" t="str">
        <f t="shared" si="21"/>
        <v>No</v>
      </c>
    </row>
    <row r="666" spans="1:9" ht="15" customHeight="1" x14ac:dyDescent="0.35">
      <c r="A666" s="2" t="s">
        <v>521</v>
      </c>
      <c r="B666" s="2" t="s">
        <v>18</v>
      </c>
      <c r="C666" s="2" t="s">
        <v>21</v>
      </c>
      <c r="D666" s="2" t="s">
        <v>22</v>
      </c>
      <c r="E666" s="2">
        <v>2022</v>
      </c>
      <c r="F666" s="2" t="s">
        <v>13</v>
      </c>
      <c r="G666" s="3">
        <v>1682112</v>
      </c>
      <c r="H666" s="2" t="str">
        <f t="shared" si="20"/>
        <v>2022-Q3</v>
      </c>
      <c r="I666" s="2" t="str">
        <f t="shared" si="21"/>
        <v>No</v>
      </c>
    </row>
    <row r="667" spans="1:9" ht="15" customHeight="1" x14ac:dyDescent="0.35">
      <c r="A667" s="2" t="s">
        <v>522</v>
      </c>
      <c r="B667" s="2" t="s">
        <v>18</v>
      </c>
      <c r="C667" s="2" t="s">
        <v>16</v>
      </c>
      <c r="D667" s="2" t="s">
        <v>22</v>
      </c>
      <c r="E667" s="2">
        <v>2022</v>
      </c>
      <c r="F667" s="2" t="s">
        <v>13</v>
      </c>
      <c r="G667" s="3">
        <v>1283815</v>
      </c>
      <c r="H667" s="2" t="str">
        <f t="shared" si="20"/>
        <v>2022-Q3</v>
      </c>
      <c r="I667" s="2" t="str">
        <f t="shared" si="21"/>
        <v>No</v>
      </c>
    </row>
    <row r="668" spans="1:9" ht="15" customHeight="1" x14ac:dyDescent="0.35">
      <c r="A668" s="2" t="s">
        <v>523</v>
      </c>
      <c r="B668" s="2" t="s">
        <v>18</v>
      </c>
      <c r="C668" s="2" t="s">
        <v>11</v>
      </c>
      <c r="D668" s="2" t="s">
        <v>22</v>
      </c>
      <c r="E668" s="2">
        <v>2022</v>
      </c>
      <c r="F668" s="2" t="s">
        <v>13</v>
      </c>
      <c r="G668" s="3">
        <v>1728548</v>
      </c>
      <c r="H668" s="2" t="str">
        <f t="shared" si="20"/>
        <v>2022-Q3</v>
      </c>
      <c r="I668" s="2" t="str">
        <f t="shared" si="21"/>
        <v>No</v>
      </c>
    </row>
    <row r="669" spans="1:9" ht="15" customHeight="1" x14ac:dyDescent="0.35">
      <c r="A669" s="2" t="s">
        <v>524</v>
      </c>
      <c r="B669" s="2" t="s">
        <v>18</v>
      </c>
      <c r="C669" s="2" t="s">
        <v>11</v>
      </c>
      <c r="D669" s="2" t="s">
        <v>22</v>
      </c>
      <c r="E669" s="2">
        <v>2022</v>
      </c>
      <c r="F669" s="2" t="s">
        <v>13</v>
      </c>
      <c r="G669" s="3">
        <v>1184509</v>
      </c>
      <c r="H669" s="2" t="str">
        <f t="shared" si="20"/>
        <v>2022-Q3</v>
      </c>
      <c r="I669" s="2" t="str">
        <f t="shared" si="21"/>
        <v>No</v>
      </c>
    </row>
    <row r="670" spans="1:9" ht="15" customHeight="1" x14ac:dyDescent="0.35">
      <c r="A670" s="2" t="s">
        <v>525</v>
      </c>
      <c r="B670" s="2" t="s">
        <v>18</v>
      </c>
      <c r="C670" s="2" t="s">
        <v>16</v>
      </c>
      <c r="D670" s="2" t="s">
        <v>22</v>
      </c>
      <c r="E670" s="2">
        <v>2022</v>
      </c>
      <c r="F670" s="2" t="s">
        <v>13</v>
      </c>
      <c r="G670" s="3">
        <v>1403679</v>
      </c>
      <c r="H670" s="2" t="str">
        <f t="shared" si="20"/>
        <v>2022-Q3</v>
      </c>
      <c r="I670" s="2" t="str">
        <f t="shared" si="21"/>
        <v>No</v>
      </c>
    </row>
    <row r="671" spans="1:9" ht="15" customHeight="1" x14ac:dyDescent="0.35">
      <c r="A671" s="2" t="s">
        <v>526</v>
      </c>
      <c r="B671" s="2" t="s">
        <v>18</v>
      </c>
      <c r="C671" s="2" t="s">
        <v>11</v>
      </c>
      <c r="D671" s="2" t="s">
        <v>31</v>
      </c>
      <c r="E671" s="2">
        <v>2022</v>
      </c>
      <c r="F671" s="2" t="s">
        <v>13</v>
      </c>
      <c r="G671" s="3">
        <v>1182590</v>
      </c>
      <c r="H671" s="2" t="str">
        <f t="shared" si="20"/>
        <v>2022-Q3</v>
      </c>
      <c r="I671" s="2" t="str">
        <f t="shared" si="21"/>
        <v>No</v>
      </c>
    </row>
    <row r="672" spans="1:9" ht="15" customHeight="1" x14ac:dyDescent="0.35">
      <c r="A672" s="2" t="s">
        <v>527</v>
      </c>
      <c r="B672" s="2" t="s">
        <v>18</v>
      </c>
      <c r="C672" s="2" t="s">
        <v>16</v>
      </c>
      <c r="D672" s="2" t="s">
        <v>31</v>
      </c>
      <c r="E672" s="2">
        <v>2022</v>
      </c>
      <c r="F672" s="2" t="s">
        <v>13</v>
      </c>
      <c r="G672" s="3">
        <v>218240</v>
      </c>
      <c r="H672" s="2" t="str">
        <f t="shared" si="20"/>
        <v>2022-Q3</v>
      </c>
      <c r="I672" s="2" t="str">
        <f t="shared" si="21"/>
        <v>No</v>
      </c>
    </row>
    <row r="673" spans="1:9" ht="15" customHeight="1" x14ac:dyDescent="0.35">
      <c r="A673" s="2" t="s">
        <v>528</v>
      </c>
      <c r="B673" s="2" t="s">
        <v>18</v>
      </c>
      <c r="C673" s="2" t="s">
        <v>21</v>
      </c>
      <c r="D673" s="2" t="s">
        <v>31</v>
      </c>
      <c r="E673" s="2">
        <v>2022</v>
      </c>
      <c r="F673" s="2" t="s">
        <v>13</v>
      </c>
      <c r="G673" s="3">
        <v>1793709</v>
      </c>
      <c r="H673" s="2" t="str">
        <f t="shared" si="20"/>
        <v>2022-Q3</v>
      </c>
      <c r="I673" s="2" t="str">
        <f t="shared" si="21"/>
        <v>No</v>
      </c>
    </row>
    <row r="674" spans="1:9" ht="15" customHeight="1" x14ac:dyDescent="0.35">
      <c r="A674" s="2" t="s">
        <v>529</v>
      </c>
      <c r="B674" s="2" t="s">
        <v>18</v>
      </c>
      <c r="C674" s="2" t="s">
        <v>11</v>
      </c>
      <c r="D674" s="2" t="s">
        <v>31</v>
      </c>
      <c r="E674" s="2">
        <v>2022</v>
      </c>
      <c r="F674" s="2" t="s">
        <v>13</v>
      </c>
      <c r="G674" s="3">
        <v>881630</v>
      </c>
      <c r="H674" s="2" t="str">
        <f t="shared" si="20"/>
        <v>2022-Q3</v>
      </c>
      <c r="I674" s="2" t="str">
        <f t="shared" si="21"/>
        <v>No</v>
      </c>
    </row>
    <row r="675" spans="1:9" ht="15" customHeight="1" x14ac:dyDescent="0.35">
      <c r="A675" s="2" t="s">
        <v>530</v>
      </c>
      <c r="B675" s="2" t="s">
        <v>18</v>
      </c>
      <c r="C675" s="2" t="s">
        <v>16</v>
      </c>
      <c r="D675" s="2" t="s">
        <v>31</v>
      </c>
      <c r="E675" s="2">
        <v>2022</v>
      </c>
      <c r="F675" s="2" t="s">
        <v>13</v>
      </c>
      <c r="G675" s="3">
        <v>1579357</v>
      </c>
      <c r="H675" s="2" t="str">
        <f t="shared" si="20"/>
        <v>2022-Q3</v>
      </c>
      <c r="I675" s="2" t="str">
        <f t="shared" si="21"/>
        <v>No</v>
      </c>
    </row>
    <row r="676" spans="1:9" ht="15" customHeight="1" x14ac:dyDescent="0.35">
      <c r="A676" s="2" t="s">
        <v>530</v>
      </c>
      <c r="B676" s="2" t="s">
        <v>18</v>
      </c>
      <c r="C676" s="2" t="s">
        <v>21</v>
      </c>
      <c r="D676" s="2" t="s">
        <v>31</v>
      </c>
      <c r="E676" s="2">
        <v>2022</v>
      </c>
      <c r="F676" s="2" t="s">
        <v>13</v>
      </c>
      <c r="G676" s="3">
        <v>1881690</v>
      </c>
      <c r="H676" s="2" t="str">
        <f t="shared" si="20"/>
        <v>2022-Q3</v>
      </c>
      <c r="I676" s="2" t="str">
        <f t="shared" si="21"/>
        <v>No</v>
      </c>
    </row>
    <row r="677" spans="1:9" ht="15" customHeight="1" x14ac:dyDescent="0.35">
      <c r="A677" s="2" t="s">
        <v>530</v>
      </c>
      <c r="B677" s="2" t="s">
        <v>18</v>
      </c>
      <c r="C677" s="2" t="s">
        <v>25</v>
      </c>
      <c r="D677" s="2" t="s">
        <v>31</v>
      </c>
      <c r="E677" s="2">
        <v>2022</v>
      </c>
      <c r="F677" s="2" t="s">
        <v>13</v>
      </c>
      <c r="G677" s="3">
        <v>425145</v>
      </c>
      <c r="H677" s="2" t="str">
        <f t="shared" si="20"/>
        <v>2022-Q3</v>
      </c>
      <c r="I677" s="2" t="str">
        <f t="shared" si="21"/>
        <v>No</v>
      </c>
    </row>
    <row r="678" spans="1:9" ht="15" customHeight="1" x14ac:dyDescent="0.35">
      <c r="A678" s="2" t="s">
        <v>530</v>
      </c>
      <c r="B678" s="2" t="s">
        <v>18</v>
      </c>
      <c r="C678" s="2" t="s">
        <v>11</v>
      </c>
      <c r="D678" s="2" t="s">
        <v>31</v>
      </c>
      <c r="E678" s="2">
        <v>2022</v>
      </c>
      <c r="F678" s="2" t="s">
        <v>13</v>
      </c>
      <c r="G678" s="3">
        <v>170272</v>
      </c>
      <c r="H678" s="2" t="str">
        <f t="shared" si="20"/>
        <v>2022-Q3</v>
      </c>
      <c r="I678" s="2" t="str">
        <f t="shared" si="21"/>
        <v>No</v>
      </c>
    </row>
    <row r="679" spans="1:9" ht="15" customHeight="1" x14ac:dyDescent="0.35">
      <c r="A679" s="2" t="s">
        <v>531</v>
      </c>
      <c r="B679" s="2" t="s">
        <v>18</v>
      </c>
      <c r="C679" s="2" t="s">
        <v>16</v>
      </c>
      <c r="D679" s="2" t="s">
        <v>31</v>
      </c>
      <c r="E679" s="2">
        <v>2022</v>
      </c>
      <c r="F679" s="2" t="s">
        <v>13</v>
      </c>
      <c r="G679" s="3">
        <v>1340840</v>
      </c>
      <c r="H679" s="2" t="str">
        <f t="shared" si="20"/>
        <v>2022-Q3</v>
      </c>
      <c r="I679" s="2" t="str">
        <f t="shared" si="21"/>
        <v>No</v>
      </c>
    </row>
    <row r="680" spans="1:9" ht="15" customHeight="1" x14ac:dyDescent="0.35">
      <c r="A680" s="2" t="s">
        <v>532</v>
      </c>
      <c r="B680" s="2" t="s">
        <v>18</v>
      </c>
      <c r="C680" s="2" t="s">
        <v>16</v>
      </c>
      <c r="D680" s="2" t="s">
        <v>31</v>
      </c>
      <c r="E680" s="2">
        <v>2022</v>
      </c>
      <c r="F680" s="2" t="s">
        <v>13</v>
      </c>
      <c r="G680" s="3">
        <v>1731924</v>
      </c>
      <c r="H680" s="2" t="str">
        <f t="shared" si="20"/>
        <v>2022-Q3</v>
      </c>
      <c r="I680" s="2" t="str">
        <f t="shared" si="21"/>
        <v>No</v>
      </c>
    </row>
    <row r="681" spans="1:9" ht="15" customHeight="1" x14ac:dyDescent="0.35">
      <c r="A681" s="2" t="s">
        <v>532</v>
      </c>
      <c r="B681" s="2" t="s">
        <v>18</v>
      </c>
      <c r="C681" s="2" t="s">
        <v>21</v>
      </c>
      <c r="D681" s="2" t="s">
        <v>31</v>
      </c>
      <c r="E681" s="2">
        <v>2022</v>
      </c>
      <c r="F681" s="2" t="s">
        <v>13</v>
      </c>
      <c r="G681" s="3">
        <v>1030957</v>
      </c>
      <c r="H681" s="2" t="str">
        <f t="shared" si="20"/>
        <v>2022-Q3</v>
      </c>
      <c r="I681" s="2" t="str">
        <f t="shared" si="21"/>
        <v>No</v>
      </c>
    </row>
    <row r="682" spans="1:9" ht="15" customHeight="1" x14ac:dyDescent="0.35">
      <c r="A682" s="2" t="s">
        <v>533</v>
      </c>
      <c r="B682" s="2" t="s">
        <v>18</v>
      </c>
      <c r="C682" s="2" t="s">
        <v>25</v>
      </c>
      <c r="D682" s="2" t="s">
        <v>31</v>
      </c>
      <c r="E682" s="2">
        <v>2022</v>
      </c>
      <c r="F682" s="2" t="s">
        <v>13</v>
      </c>
      <c r="G682" s="3">
        <v>247066</v>
      </c>
      <c r="H682" s="2" t="str">
        <f t="shared" si="20"/>
        <v>2022-Q3</v>
      </c>
      <c r="I682" s="2" t="str">
        <f t="shared" si="21"/>
        <v>No</v>
      </c>
    </row>
    <row r="683" spans="1:9" ht="15" customHeight="1" x14ac:dyDescent="0.35">
      <c r="A683" s="2" t="s">
        <v>534</v>
      </c>
      <c r="B683" s="2" t="s">
        <v>18</v>
      </c>
      <c r="C683" s="2" t="s">
        <v>11</v>
      </c>
      <c r="D683" s="2" t="s">
        <v>31</v>
      </c>
      <c r="E683" s="2">
        <v>2022</v>
      </c>
      <c r="F683" s="2" t="s">
        <v>13</v>
      </c>
      <c r="G683" s="3">
        <v>250567</v>
      </c>
      <c r="H683" s="2" t="str">
        <f t="shared" si="20"/>
        <v>2022-Q3</v>
      </c>
      <c r="I683" s="2" t="str">
        <f t="shared" si="21"/>
        <v>No</v>
      </c>
    </row>
    <row r="684" spans="1:9" ht="15" customHeight="1" x14ac:dyDescent="0.35">
      <c r="A684" s="2" t="s">
        <v>535</v>
      </c>
      <c r="B684" s="2" t="s">
        <v>18</v>
      </c>
      <c r="C684" s="2" t="s">
        <v>11</v>
      </c>
      <c r="D684" s="2" t="s">
        <v>31</v>
      </c>
      <c r="E684" s="2">
        <v>2022</v>
      </c>
      <c r="F684" s="2" t="s">
        <v>13</v>
      </c>
      <c r="G684" s="3">
        <v>1186037</v>
      </c>
      <c r="H684" s="2" t="str">
        <f t="shared" si="20"/>
        <v>2022-Q3</v>
      </c>
      <c r="I684" s="2" t="str">
        <f t="shared" si="21"/>
        <v>No</v>
      </c>
    </row>
    <row r="685" spans="1:9" ht="15" customHeight="1" x14ac:dyDescent="0.35">
      <c r="A685" s="2" t="s">
        <v>536</v>
      </c>
      <c r="B685" s="2" t="s">
        <v>18</v>
      </c>
      <c r="C685" s="2" t="s">
        <v>16</v>
      </c>
      <c r="D685" s="2" t="s">
        <v>31</v>
      </c>
      <c r="E685" s="2">
        <v>2022</v>
      </c>
      <c r="F685" s="2" t="s">
        <v>13</v>
      </c>
      <c r="G685" s="3">
        <v>1537340</v>
      </c>
      <c r="H685" s="2" t="str">
        <f t="shared" si="20"/>
        <v>2022-Q3</v>
      </c>
      <c r="I685" s="2" t="str">
        <f t="shared" si="21"/>
        <v>No</v>
      </c>
    </row>
    <row r="686" spans="1:9" ht="15" customHeight="1" x14ac:dyDescent="0.35">
      <c r="A686" s="2" t="s">
        <v>537</v>
      </c>
      <c r="B686" s="2" t="s">
        <v>18</v>
      </c>
      <c r="C686" s="2" t="s">
        <v>25</v>
      </c>
      <c r="D686" s="2" t="s">
        <v>31</v>
      </c>
      <c r="E686" s="2">
        <v>2022</v>
      </c>
      <c r="F686" s="2" t="s">
        <v>13</v>
      </c>
      <c r="G686" s="3">
        <v>552073</v>
      </c>
      <c r="H686" s="2" t="str">
        <f t="shared" si="20"/>
        <v>2022-Q3</v>
      </c>
      <c r="I686" s="2" t="str">
        <f t="shared" si="21"/>
        <v>No</v>
      </c>
    </row>
    <row r="687" spans="1:9" ht="15" customHeight="1" x14ac:dyDescent="0.35">
      <c r="A687" s="2" t="s">
        <v>538</v>
      </c>
      <c r="B687" s="2" t="s">
        <v>18</v>
      </c>
      <c r="C687" s="2" t="s">
        <v>11</v>
      </c>
      <c r="D687" s="2" t="s">
        <v>31</v>
      </c>
      <c r="E687" s="2">
        <v>2022</v>
      </c>
      <c r="F687" s="2" t="s">
        <v>13</v>
      </c>
      <c r="G687" s="3">
        <v>686369</v>
      </c>
      <c r="H687" s="2" t="str">
        <f t="shared" si="20"/>
        <v>2022-Q3</v>
      </c>
      <c r="I687" s="2" t="str">
        <f t="shared" si="21"/>
        <v>No</v>
      </c>
    </row>
    <row r="688" spans="1:9" ht="15" customHeight="1" x14ac:dyDescent="0.35">
      <c r="A688" s="2" t="s">
        <v>539</v>
      </c>
      <c r="B688" s="2" t="s">
        <v>18</v>
      </c>
      <c r="C688" s="2" t="s">
        <v>16</v>
      </c>
      <c r="D688" s="2" t="s">
        <v>31</v>
      </c>
      <c r="E688" s="2">
        <v>2022</v>
      </c>
      <c r="F688" s="2" t="s">
        <v>13</v>
      </c>
      <c r="G688" s="3">
        <v>953560</v>
      </c>
      <c r="H688" s="2" t="str">
        <f t="shared" si="20"/>
        <v>2022-Q3</v>
      </c>
      <c r="I688" s="2" t="str">
        <f t="shared" si="21"/>
        <v>No</v>
      </c>
    </row>
    <row r="689" spans="1:9" ht="15" customHeight="1" x14ac:dyDescent="0.35">
      <c r="A689" s="2" t="s">
        <v>540</v>
      </c>
      <c r="B689" s="2" t="s">
        <v>18</v>
      </c>
      <c r="C689" s="2" t="s">
        <v>11</v>
      </c>
      <c r="D689" s="2" t="s">
        <v>34</v>
      </c>
      <c r="E689" s="2">
        <v>2022</v>
      </c>
      <c r="F689" s="2" t="s">
        <v>35</v>
      </c>
      <c r="G689" s="3">
        <v>1135057</v>
      </c>
      <c r="H689" s="2" t="str">
        <f t="shared" si="20"/>
        <v>2022-Q4</v>
      </c>
      <c r="I689" s="2" t="str">
        <f t="shared" si="21"/>
        <v>No</v>
      </c>
    </row>
    <row r="690" spans="1:9" ht="15" customHeight="1" x14ac:dyDescent="0.35">
      <c r="A690" s="2" t="s">
        <v>541</v>
      </c>
      <c r="B690" s="2" t="s">
        <v>18</v>
      </c>
      <c r="C690" s="2" t="s">
        <v>16</v>
      </c>
      <c r="D690" s="2" t="s">
        <v>34</v>
      </c>
      <c r="E690" s="2">
        <v>2022</v>
      </c>
      <c r="F690" s="2" t="s">
        <v>35</v>
      </c>
      <c r="G690" s="3">
        <v>774526</v>
      </c>
      <c r="H690" s="2" t="str">
        <f t="shared" si="20"/>
        <v>2022-Q4</v>
      </c>
      <c r="I690" s="2" t="str">
        <f t="shared" si="21"/>
        <v>No</v>
      </c>
    </row>
    <row r="691" spans="1:9" ht="15" customHeight="1" x14ac:dyDescent="0.35">
      <c r="A691" s="2" t="s">
        <v>541</v>
      </c>
      <c r="B691" s="2" t="s">
        <v>18</v>
      </c>
      <c r="C691" s="2" t="s">
        <v>25</v>
      </c>
      <c r="D691" s="2" t="s">
        <v>34</v>
      </c>
      <c r="E691" s="2">
        <v>2022</v>
      </c>
      <c r="F691" s="2" t="s">
        <v>35</v>
      </c>
      <c r="G691" s="3">
        <v>1015942</v>
      </c>
      <c r="H691" s="2" t="str">
        <f t="shared" si="20"/>
        <v>2022-Q4</v>
      </c>
      <c r="I691" s="2" t="str">
        <f t="shared" si="21"/>
        <v>No</v>
      </c>
    </row>
    <row r="692" spans="1:9" ht="15" customHeight="1" x14ac:dyDescent="0.35">
      <c r="A692" s="2" t="s">
        <v>541</v>
      </c>
      <c r="B692" s="2" t="s">
        <v>18</v>
      </c>
      <c r="C692" s="2" t="s">
        <v>11</v>
      </c>
      <c r="D692" s="2" t="s">
        <v>34</v>
      </c>
      <c r="E692" s="2">
        <v>2022</v>
      </c>
      <c r="F692" s="2" t="s">
        <v>35</v>
      </c>
      <c r="G692" s="3">
        <v>1993520</v>
      </c>
      <c r="H692" s="2" t="str">
        <f t="shared" si="20"/>
        <v>2022-Q4</v>
      </c>
      <c r="I692" s="2" t="str">
        <f t="shared" si="21"/>
        <v>No</v>
      </c>
    </row>
    <row r="693" spans="1:9" ht="15" customHeight="1" x14ac:dyDescent="0.35">
      <c r="A693" s="2" t="s">
        <v>542</v>
      </c>
      <c r="B693" s="2" t="s">
        <v>18</v>
      </c>
      <c r="C693" s="2" t="s">
        <v>21</v>
      </c>
      <c r="D693" s="2" t="s">
        <v>34</v>
      </c>
      <c r="E693" s="2">
        <v>2022</v>
      </c>
      <c r="F693" s="2" t="s">
        <v>35</v>
      </c>
      <c r="G693" s="3">
        <v>259226</v>
      </c>
      <c r="H693" s="2" t="str">
        <f t="shared" si="20"/>
        <v>2022-Q4</v>
      </c>
      <c r="I693" s="2" t="str">
        <f t="shared" si="21"/>
        <v>No</v>
      </c>
    </row>
    <row r="694" spans="1:9" ht="15" customHeight="1" x14ac:dyDescent="0.35">
      <c r="A694" s="2" t="s">
        <v>543</v>
      </c>
      <c r="B694" s="2" t="s">
        <v>18</v>
      </c>
      <c r="C694" s="2" t="s">
        <v>21</v>
      </c>
      <c r="D694" s="2" t="s">
        <v>34</v>
      </c>
      <c r="E694" s="2">
        <v>2022</v>
      </c>
      <c r="F694" s="2" t="s">
        <v>35</v>
      </c>
      <c r="G694" s="3">
        <v>500000</v>
      </c>
      <c r="H694" s="2" t="str">
        <f t="shared" si="20"/>
        <v>2022-Q4</v>
      </c>
      <c r="I694" s="2" t="str">
        <f t="shared" si="21"/>
        <v>No</v>
      </c>
    </row>
    <row r="695" spans="1:9" ht="15" customHeight="1" x14ac:dyDescent="0.35">
      <c r="A695" s="2" t="s">
        <v>544</v>
      </c>
      <c r="B695" s="2" t="s">
        <v>18</v>
      </c>
      <c r="C695" s="2" t="s">
        <v>21</v>
      </c>
      <c r="D695" s="2" t="s">
        <v>34</v>
      </c>
      <c r="E695" s="2">
        <v>2022</v>
      </c>
      <c r="F695" s="2" t="s">
        <v>35</v>
      </c>
      <c r="G695" s="3">
        <v>480000</v>
      </c>
      <c r="H695" s="2" t="str">
        <f t="shared" si="20"/>
        <v>2022-Q4</v>
      </c>
      <c r="I695" s="2" t="str">
        <f t="shared" si="21"/>
        <v>No</v>
      </c>
    </row>
    <row r="696" spans="1:9" ht="15" customHeight="1" x14ac:dyDescent="0.35">
      <c r="A696" s="2" t="s">
        <v>544</v>
      </c>
      <c r="B696" s="2" t="s">
        <v>18</v>
      </c>
      <c r="C696" s="2" t="s">
        <v>16</v>
      </c>
      <c r="D696" s="2" t="s">
        <v>34</v>
      </c>
      <c r="E696" s="2">
        <v>2022</v>
      </c>
      <c r="F696" s="2" t="s">
        <v>35</v>
      </c>
      <c r="G696" s="3">
        <v>1323102</v>
      </c>
      <c r="H696" s="2" t="str">
        <f t="shared" si="20"/>
        <v>2022-Q4</v>
      </c>
      <c r="I696" s="2" t="str">
        <f t="shared" si="21"/>
        <v>No</v>
      </c>
    </row>
    <row r="697" spans="1:9" ht="15" customHeight="1" x14ac:dyDescent="0.35">
      <c r="A697" s="2" t="s">
        <v>545</v>
      </c>
      <c r="B697" s="2" t="s">
        <v>18</v>
      </c>
      <c r="C697" s="2" t="s">
        <v>11</v>
      </c>
      <c r="D697" s="2" t="s">
        <v>34</v>
      </c>
      <c r="E697" s="2">
        <v>2022</v>
      </c>
      <c r="F697" s="2" t="s">
        <v>35</v>
      </c>
      <c r="G697" s="3">
        <v>1719288</v>
      </c>
      <c r="H697" s="2" t="str">
        <f t="shared" si="20"/>
        <v>2022-Q4</v>
      </c>
      <c r="I697" s="2" t="str">
        <f t="shared" si="21"/>
        <v>No</v>
      </c>
    </row>
    <row r="698" spans="1:9" ht="15" customHeight="1" x14ac:dyDescent="0.35">
      <c r="A698" s="2" t="s">
        <v>545</v>
      </c>
      <c r="B698" s="2" t="s">
        <v>18</v>
      </c>
      <c r="C698" s="2" t="s">
        <v>21</v>
      </c>
      <c r="D698" s="2" t="s">
        <v>34</v>
      </c>
      <c r="E698" s="2">
        <v>2022</v>
      </c>
      <c r="F698" s="2" t="s">
        <v>35</v>
      </c>
      <c r="G698" s="3">
        <v>545305</v>
      </c>
      <c r="H698" s="2" t="str">
        <f t="shared" si="20"/>
        <v>2022-Q4</v>
      </c>
      <c r="I698" s="2" t="str">
        <f t="shared" si="21"/>
        <v>No</v>
      </c>
    </row>
    <row r="699" spans="1:9" ht="15" customHeight="1" x14ac:dyDescent="0.35">
      <c r="A699" s="2" t="s">
        <v>546</v>
      </c>
      <c r="B699" s="2" t="s">
        <v>18</v>
      </c>
      <c r="C699" s="2" t="s">
        <v>11</v>
      </c>
      <c r="D699" s="2" t="s">
        <v>34</v>
      </c>
      <c r="E699" s="2">
        <v>2022</v>
      </c>
      <c r="F699" s="2" t="s">
        <v>35</v>
      </c>
      <c r="G699" s="3">
        <v>1100065</v>
      </c>
      <c r="H699" s="2" t="str">
        <f t="shared" si="20"/>
        <v>2022-Q4</v>
      </c>
      <c r="I699" s="2" t="str">
        <f t="shared" si="21"/>
        <v>No</v>
      </c>
    </row>
    <row r="700" spans="1:9" ht="15" customHeight="1" x14ac:dyDescent="0.35">
      <c r="A700" s="2" t="s">
        <v>547</v>
      </c>
      <c r="B700" s="2" t="s">
        <v>18</v>
      </c>
      <c r="C700" s="2" t="s">
        <v>16</v>
      </c>
      <c r="D700" s="2" t="s">
        <v>34</v>
      </c>
      <c r="E700" s="2">
        <v>2022</v>
      </c>
      <c r="F700" s="2" t="s">
        <v>35</v>
      </c>
      <c r="G700" s="3">
        <v>1178486</v>
      </c>
      <c r="H700" s="2" t="str">
        <f t="shared" si="20"/>
        <v>2022-Q4</v>
      </c>
      <c r="I700" s="2" t="str">
        <f t="shared" si="21"/>
        <v>No</v>
      </c>
    </row>
    <row r="701" spans="1:9" ht="15" customHeight="1" x14ac:dyDescent="0.35">
      <c r="A701" s="2" t="s">
        <v>548</v>
      </c>
      <c r="B701" s="2" t="s">
        <v>18</v>
      </c>
      <c r="C701" s="2" t="s">
        <v>11</v>
      </c>
      <c r="D701" s="2" t="s">
        <v>34</v>
      </c>
      <c r="E701" s="2">
        <v>2022</v>
      </c>
      <c r="F701" s="2" t="s">
        <v>35</v>
      </c>
      <c r="G701" s="3">
        <v>725587</v>
      </c>
      <c r="H701" s="2" t="str">
        <f t="shared" si="20"/>
        <v>2022-Q4</v>
      </c>
      <c r="I701" s="2" t="str">
        <f t="shared" si="21"/>
        <v>No</v>
      </c>
    </row>
    <row r="702" spans="1:9" ht="15" customHeight="1" x14ac:dyDescent="0.35">
      <c r="A702" s="2" t="s">
        <v>548</v>
      </c>
      <c r="B702" s="2" t="s">
        <v>18</v>
      </c>
      <c r="C702" s="2" t="s">
        <v>16</v>
      </c>
      <c r="D702" s="2" t="s">
        <v>34</v>
      </c>
      <c r="E702" s="2">
        <v>2022</v>
      </c>
      <c r="F702" s="2" t="s">
        <v>35</v>
      </c>
      <c r="G702" s="3">
        <v>1682112</v>
      </c>
      <c r="H702" s="2" t="str">
        <f t="shared" si="20"/>
        <v>2022-Q4</v>
      </c>
      <c r="I702" s="2" t="str">
        <f t="shared" si="21"/>
        <v>No</v>
      </c>
    </row>
    <row r="703" spans="1:9" ht="15" customHeight="1" x14ac:dyDescent="0.35">
      <c r="A703" s="2" t="s">
        <v>549</v>
      </c>
      <c r="B703" s="2" t="s">
        <v>18</v>
      </c>
      <c r="C703" s="2" t="s">
        <v>11</v>
      </c>
      <c r="D703" s="2" t="s">
        <v>34</v>
      </c>
      <c r="E703" s="2">
        <v>2022</v>
      </c>
      <c r="F703" s="2" t="s">
        <v>35</v>
      </c>
      <c r="G703" s="3">
        <v>1728548</v>
      </c>
      <c r="H703" s="2" t="str">
        <f t="shared" si="20"/>
        <v>2022-Q4</v>
      </c>
      <c r="I703" s="2" t="str">
        <f t="shared" si="21"/>
        <v>No</v>
      </c>
    </row>
    <row r="704" spans="1:9" ht="15" customHeight="1" x14ac:dyDescent="0.35">
      <c r="A704" s="2" t="s">
        <v>549</v>
      </c>
      <c r="B704" s="2" t="s">
        <v>18</v>
      </c>
      <c r="C704" s="2" t="s">
        <v>11</v>
      </c>
      <c r="D704" s="2" t="s">
        <v>34</v>
      </c>
      <c r="E704" s="2">
        <v>2022</v>
      </c>
      <c r="F704" s="2" t="s">
        <v>35</v>
      </c>
      <c r="G704" s="3">
        <v>1283815</v>
      </c>
      <c r="H704" s="2" t="str">
        <f t="shared" si="20"/>
        <v>2022-Q4</v>
      </c>
      <c r="I704" s="2" t="str">
        <f t="shared" si="21"/>
        <v>No</v>
      </c>
    </row>
    <row r="705" spans="1:9" ht="15" customHeight="1" x14ac:dyDescent="0.35">
      <c r="A705" s="2" t="s">
        <v>550</v>
      </c>
      <c r="B705" s="2" t="s">
        <v>15</v>
      </c>
      <c r="C705" s="2" t="s">
        <v>21</v>
      </c>
      <c r="D705" s="2" t="s">
        <v>34</v>
      </c>
      <c r="E705" s="2">
        <v>2022</v>
      </c>
      <c r="F705" s="2" t="s">
        <v>35</v>
      </c>
      <c r="G705" s="3">
        <v>1184509</v>
      </c>
      <c r="H705" s="2" t="str">
        <f t="shared" si="20"/>
        <v>2022-Q4</v>
      </c>
      <c r="I705" s="2" t="str">
        <f t="shared" si="21"/>
        <v>No</v>
      </c>
    </row>
    <row r="706" spans="1:9" ht="15" customHeight="1" x14ac:dyDescent="0.35">
      <c r="A706" s="2" t="s">
        <v>550</v>
      </c>
      <c r="B706" s="2" t="s">
        <v>15</v>
      </c>
      <c r="C706" s="2" t="s">
        <v>11</v>
      </c>
      <c r="D706" s="2" t="s">
        <v>34</v>
      </c>
      <c r="E706" s="2">
        <v>2022</v>
      </c>
      <c r="F706" s="2" t="s">
        <v>35</v>
      </c>
      <c r="G706" s="3">
        <v>1403679</v>
      </c>
      <c r="H706" s="2" t="str">
        <f t="shared" ref="H706:H715" si="22">E706&amp;"-"&amp;F706</f>
        <v>2022-Q4</v>
      </c>
      <c r="I706" s="2" t="str">
        <f t="shared" ref="I706:I715" si="23">IF(E706=2019,"Yes","No")</f>
        <v>No</v>
      </c>
    </row>
    <row r="707" spans="1:9" ht="15" customHeight="1" x14ac:dyDescent="0.35">
      <c r="A707" s="2" t="s">
        <v>551</v>
      </c>
      <c r="B707" s="2" t="s">
        <v>15</v>
      </c>
      <c r="C707" s="2" t="s">
        <v>16</v>
      </c>
      <c r="D707" s="2" t="s">
        <v>34</v>
      </c>
      <c r="E707" s="2">
        <v>2022</v>
      </c>
      <c r="F707" s="2" t="s">
        <v>35</v>
      </c>
      <c r="G707" s="3">
        <v>1182590</v>
      </c>
      <c r="H707" s="2" t="str">
        <f t="shared" si="22"/>
        <v>2022-Q4</v>
      </c>
      <c r="I707" s="2" t="str">
        <f t="shared" si="23"/>
        <v>No</v>
      </c>
    </row>
    <row r="708" spans="1:9" ht="15" customHeight="1" x14ac:dyDescent="0.35">
      <c r="A708" s="2" t="s">
        <v>552</v>
      </c>
      <c r="B708" s="2" t="s">
        <v>15</v>
      </c>
      <c r="C708" s="2" t="s">
        <v>11</v>
      </c>
      <c r="D708" s="2" t="s">
        <v>34</v>
      </c>
      <c r="E708" s="2">
        <v>2022</v>
      </c>
      <c r="F708" s="2" t="s">
        <v>35</v>
      </c>
      <c r="G708" s="3">
        <v>789000</v>
      </c>
      <c r="H708" s="2" t="str">
        <f t="shared" si="22"/>
        <v>2022-Q4</v>
      </c>
      <c r="I708" s="2" t="str">
        <f t="shared" si="23"/>
        <v>No</v>
      </c>
    </row>
    <row r="709" spans="1:9" ht="15" customHeight="1" x14ac:dyDescent="0.35">
      <c r="A709" s="2" t="s">
        <v>553</v>
      </c>
      <c r="B709" s="2" t="s">
        <v>24</v>
      </c>
      <c r="C709" s="2" t="s">
        <v>25</v>
      </c>
      <c r="D709" s="2" t="s">
        <v>34</v>
      </c>
      <c r="E709" s="2">
        <v>2022</v>
      </c>
      <c r="F709" s="2" t="s">
        <v>35</v>
      </c>
      <c r="G709" s="3">
        <v>302000</v>
      </c>
      <c r="H709" s="2" t="str">
        <f t="shared" si="22"/>
        <v>2022-Q4</v>
      </c>
      <c r="I709" s="2" t="str">
        <f t="shared" si="23"/>
        <v>No</v>
      </c>
    </row>
    <row r="710" spans="1:9" ht="15" customHeight="1" x14ac:dyDescent="0.35">
      <c r="A710" s="2" t="s">
        <v>554</v>
      </c>
      <c r="B710" s="2" t="s">
        <v>24</v>
      </c>
      <c r="C710" s="2" t="s">
        <v>25</v>
      </c>
      <c r="D710" s="2" t="s">
        <v>34</v>
      </c>
      <c r="E710" s="2">
        <v>2022</v>
      </c>
      <c r="F710" s="2" t="s">
        <v>35</v>
      </c>
      <c r="G710" s="3">
        <v>102000</v>
      </c>
      <c r="H710" s="2" t="str">
        <f t="shared" si="22"/>
        <v>2022-Q4</v>
      </c>
      <c r="I710" s="2" t="str">
        <f t="shared" si="23"/>
        <v>No</v>
      </c>
    </row>
    <row r="711" spans="1:9" ht="15" customHeight="1" x14ac:dyDescent="0.35">
      <c r="A711" s="2" t="s">
        <v>555</v>
      </c>
      <c r="B711" s="2" t="s">
        <v>24</v>
      </c>
      <c r="C711" s="2" t="s">
        <v>11</v>
      </c>
      <c r="D711" s="2" t="s">
        <v>34</v>
      </c>
      <c r="E711" s="2">
        <v>2022</v>
      </c>
      <c r="F711" s="2" t="s">
        <v>35</v>
      </c>
      <c r="G711" s="3">
        <v>50000</v>
      </c>
      <c r="H711" s="2" t="str">
        <f t="shared" si="22"/>
        <v>2022-Q4</v>
      </c>
      <c r="I711" s="2" t="str">
        <f t="shared" si="23"/>
        <v>No</v>
      </c>
    </row>
    <row r="712" spans="1:9" ht="15" customHeight="1" x14ac:dyDescent="0.35">
      <c r="A712" s="2" t="s">
        <v>556</v>
      </c>
      <c r="B712" s="2" t="s">
        <v>24</v>
      </c>
      <c r="C712" s="2" t="s">
        <v>16</v>
      </c>
      <c r="D712" s="2" t="s">
        <v>34</v>
      </c>
      <c r="E712" s="2">
        <v>2022</v>
      </c>
      <c r="F712" s="2" t="s">
        <v>35</v>
      </c>
      <c r="G712" s="3">
        <v>720000</v>
      </c>
      <c r="H712" s="2" t="str">
        <f t="shared" si="22"/>
        <v>2022-Q4</v>
      </c>
      <c r="I712" s="2" t="str">
        <f t="shared" si="23"/>
        <v>No</v>
      </c>
    </row>
    <row r="713" spans="1:9" ht="15" customHeight="1" x14ac:dyDescent="0.35">
      <c r="A713" s="2" t="s">
        <v>556</v>
      </c>
      <c r="B713" s="2" t="s">
        <v>24</v>
      </c>
      <c r="C713" s="2" t="s">
        <v>21</v>
      </c>
      <c r="D713" s="2" t="s">
        <v>34</v>
      </c>
      <c r="E713" s="2">
        <v>2022</v>
      </c>
      <c r="F713" s="2" t="s">
        <v>35</v>
      </c>
      <c r="G713" s="3">
        <v>70000</v>
      </c>
      <c r="H713" s="2" t="str">
        <f t="shared" si="22"/>
        <v>2022-Q4</v>
      </c>
      <c r="I713" s="2" t="str">
        <f t="shared" si="23"/>
        <v>No</v>
      </c>
    </row>
    <row r="714" spans="1:9" ht="15" customHeight="1" x14ac:dyDescent="0.35">
      <c r="A714" s="2" t="s">
        <v>557</v>
      </c>
      <c r="B714" s="2" t="s">
        <v>10</v>
      </c>
      <c r="C714" s="2" t="s">
        <v>21</v>
      </c>
      <c r="D714" s="2" t="s">
        <v>34</v>
      </c>
      <c r="E714" s="2">
        <v>2022</v>
      </c>
      <c r="F714" s="2" t="s">
        <v>35</v>
      </c>
      <c r="G714" s="3">
        <v>50500</v>
      </c>
      <c r="H714" s="2" t="str">
        <f t="shared" si="22"/>
        <v>2022-Q4</v>
      </c>
      <c r="I714" s="2" t="str">
        <f t="shared" si="23"/>
        <v>No</v>
      </c>
    </row>
    <row r="715" spans="1:9" ht="15" customHeight="1" x14ac:dyDescent="0.35">
      <c r="A715" s="2" t="s">
        <v>558</v>
      </c>
      <c r="B715" s="2" t="s">
        <v>20</v>
      </c>
      <c r="C715" s="2" t="s">
        <v>21</v>
      </c>
      <c r="D715" s="2" t="s">
        <v>34</v>
      </c>
      <c r="E715" s="2">
        <v>2022</v>
      </c>
      <c r="F715" s="2" t="s">
        <v>35</v>
      </c>
      <c r="G715" s="3">
        <v>63900</v>
      </c>
      <c r="H715" s="2" t="str">
        <f t="shared" si="22"/>
        <v>2022-Q4</v>
      </c>
      <c r="I715" s="2" t="str">
        <f t="shared" si="23"/>
        <v>No</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D90D-53DA-4821-A291-881B58C1C9E1}">
  <dimension ref="A3:L32"/>
  <sheetViews>
    <sheetView topLeftCell="B10" zoomScale="99" workbookViewId="0">
      <selection activeCell="C26" sqref="C26"/>
    </sheetView>
  </sheetViews>
  <sheetFormatPr defaultRowHeight="14.5" x14ac:dyDescent="0.35"/>
  <cols>
    <col min="1" max="1" width="12.453125" bestFit="1" customWidth="1"/>
    <col min="2" max="2" width="14.1796875" bestFit="1" customWidth="1"/>
    <col min="3" max="3" width="14" bestFit="1" customWidth="1"/>
    <col min="4" max="4" width="14.1796875" bestFit="1" customWidth="1"/>
    <col min="5" max="5" width="15.453125" bestFit="1" customWidth="1"/>
    <col min="6" max="9" width="12" bestFit="1" customWidth="1"/>
    <col min="10" max="10" width="16.453125" bestFit="1" customWidth="1"/>
    <col min="11" max="11" width="14.1796875" bestFit="1" customWidth="1"/>
  </cols>
  <sheetData>
    <row r="3" spans="1:12" x14ac:dyDescent="0.35">
      <c r="A3" s="4" t="s">
        <v>559</v>
      </c>
      <c r="B3" t="s">
        <v>575</v>
      </c>
      <c r="J3" s="4" t="s">
        <v>559</v>
      </c>
      <c r="K3" t="s">
        <v>575</v>
      </c>
    </row>
    <row r="4" spans="1:12" x14ac:dyDescent="0.35">
      <c r="A4" s="5" t="s">
        <v>560</v>
      </c>
      <c r="B4" s="6">
        <v>8781612</v>
      </c>
      <c r="J4" s="5" t="s">
        <v>24</v>
      </c>
      <c r="K4" s="7">
        <v>0.10579299615985292</v>
      </c>
    </row>
    <row r="5" spans="1:12" x14ac:dyDescent="0.35">
      <c r="A5" s="5" t="s">
        <v>561</v>
      </c>
      <c r="B5" s="6">
        <v>18807759</v>
      </c>
      <c r="J5" s="5" t="s">
        <v>18</v>
      </c>
      <c r="K5" s="7">
        <v>0.12061835867214274</v>
      </c>
    </row>
    <row r="6" spans="1:12" x14ac:dyDescent="0.35">
      <c r="A6" s="5" t="s">
        <v>562</v>
      </c>
      <c r="B6" s="6">
        <v>117075187</v>
      </c>
      <c r="D6" s="4" t="s">
        <v>575</v>
      </c>
      <c r="E6" s="4" t="s">
        <v>576</v>
      </c>
      <c r="J6" s="5" t="s">
        <v>29</v>
      </c>
      <c r="K6" s="7">
        <v>0.35205012984216999</v>
      </c>
    </row>
    <row r="7" spans="1:12" x14ac:dyDescent="0.35">
      <c r="A7" s="5" t="s">
        <v>563</v>
      </c>
      <c r="B7" s="6">
        <v>158092546</v>
      </c>
      <c r="D7" s="4" t="s">
        <v>559</v>
      </c>
      <c r="E7">
        <v>2019</v>
      </c>
      <c r="F7">
        <v>2020</v>
      </c>
      <c r="G7">
        <v>2021</v>
      </c>
      <c r="H7">
        <v>2022</v>
      </c>
      <c r="I7" t="s">
        <v>574</v>
      </c>
      <c r="J7" s="5" t="s">
        <v>27</v>
      </c>
      <c r="K7" s="7">
        <v>0.18964277593524762</v>
      </c>
    </row>
    <row r="8" spans="1:12" x14ac:dyDescent="0.35">
      <c r="A8" s="5" t="s">
        <v>564</v>
      </c>
      <c r="B8" s="6">
        <v>217660901</v>
      </c>
      <c r="D8" s="5" t="s">
        <v>16</v>
      </c>
      <c r="E8" s="6">
        <v>7482083</v>
      </c>
      <c r="F8" s="6">
        <v>52034190</v>
      </c>
      <c r="G8" s="6">
        <v>53531466</v>
      </c>
      <c r="H8" s="6">
        <v>66509232</v>
      </c>
      <c r="I8" s="6">
        <v>179556971</v>
      </c>
      <c r="J8" s="5" t="s">
        <v>20</v>
      </c>
      <c r="K8" s="7">
        <v>7.2186028077348127E-2</v>
      </c>
    </row>
    <row r="9" spans="1:12" x14ac:dyDescent="0.35">
      <c r="A9" s="5" t="s">
        <v>565</v>
      </c>
      <c r="B9" s="6">
        <v>278804013</v>
      </c>
      <c r="D9" s="5" t="s">
        <v>21</v>
      </c>
      <c r="E9" s="6">
        <v>2691385</v>
      </c>
      <c r="F9" s="6">
        <v>66074746</v>
      </c>
      <c r="G9" s="6">
        <v>77399005</v>
      </c>
      <c r="H9" s="6">
        <v>51902272</v>
      </c>
      <c r="I9" s="6">
        <v>198067408</v>
      </c>
      <c r="J9" s="5" t="s">
        <v>15</v>
      </c>
      <c r="K9" s="7">
        <v>0.10506379363535541</v>
      </c>
    </row>
    <row r="10" spans="1:12" x14ac:dyDescent="0.35">
      <c r="A10" s="5" t="s">
        <v>566</v>
      </c>
      <c r="B10" s="6">
        <v>363863429</v>
      </c>
      <c r="D10" s="5" t="s">
        <v>11</v>
      </c>
      <c r="E10" s="6">
        <v>5389407</v>
      </c>
      <c r="F10" s="6">
        <v>112281122</v>
      </c>
      <c r="G10" s="6">
        <v>54829507</v>
      </c>
      <c r="H10" s="6">
        <v>94095323</v>
      </c>
      <c r="I10" s="6">
        <v>266595359</v>
      </c>
      <c r="J10" s="5" t="s">
        <v>10</v>
      </c>
      <c r="K10" s="7">
        <v>5.4645917677883196E-2</v>
      </c>
    </row>
    <row r="11" spans="1:12" x14ac:dyDescent="0.35">
      <c r="A11" s="5" t="s">
        <v>567</v>
      </c>
      <c r="B11" s="6">
        <v>404946546</v>
      </c>
      <c r="D11" s="5" t="s">
        <v>25</v>
      </c>
      <c r="E11" s="6">
        <v>3244884</v>
      </c>
      <c r="F11" s="6">
        <v>29606196</v>
      </c>
      <c r="G11" s="6">
        <v>41229734</v>
      </c>
      <c r="H11" s="6">
        <v>29830429</v>
      </c>
      <c r="I11" s="6">
        <v>103911243</v>
      </c>
      <c r="J11" s="5" t="s">
        <v>574</v>
      </c>
      <c r="K11" s="7">
        <v>1</v>
      </c>
    </row>
    <row r="12" spans="1:12" x14ac:dyDescent="0.35">
      <c r="A12" s="5" t="s">
        <v>568</v>
      </c>
      <c r="B12" s="6">
        <v>453909992</v>
      </c>
      <c r="D12" s="5" t="s">
        <v>574</v>
      </c>
      <c r="E12" s="6">
        <v>18807759</v>
      </c>
      <c r="F12" s="6">
        <v>259996254</v>
      </c>
      <c r="G12" s="6">
        <v>226989712</v>
      </c>
      <c r="H12" s="6">
        <v>242337256</v>
      </c>
      <c r="I12" s="6">
        <v>748130981</v>
      </c>
    </row>
    <row r="13" spans="1:12" x14ac:dyDescent="0.35">
      <c r="A13" s="5" t="s">
        <v>569</v>
      </c>
      <c r="B13" s="6">
        <v>505793725</v>
      </c>
    </row>
    <row r="14" spans="1:12" x14ac:dyDescent="0.35">
      <c r="A14" s="5" t="s">
        <v>570</v>
      </c>
      <c r="B14" s="6">
        <v>603276472</v>
      </c>
    </row>
    <row r="15" spans="1:12" x14ac:dyDescent="0.35">
      <c r="A15" s="5" t="s">
        <v>571</v>
      </c>
      <c r="B15" s="6">
        <v>658694388</v>
      </c>
      <c r="K15">
        <f>COUNTA(PivotTable!J4:J10)</f>
        <v>7</v>
      </c>
      <c r="L15" s="9">
        <f>(PivotTable!H26-PivotTable!F26)/PivotTable!F26</f>
        <v>-6.7920201650289933E-2</v>
      </c>
    </row>
    <row r="16" spans="1:12" x14ac:dyDescent="0.35">
      <c r="A16" s="5" t="s">
        <v>572</v>
      </c>
      <c r="B16" s="6">
        <v>724768224</v>
      </c>
    </row>
    <row r="17" spans="1:9" x14ac:dyDescent="0.35">
      <c r="A17" s="5" t="s">
        <v>573</v>
      </c>
      <c r="B17" s="6">
        <v>748130981</v>
      </c>
      <c r="D17" s="4" t="s">
        <v>575</v>
      </c>
      <c r="E17" s="4" t="s">
        <v>576</v>
      </c>
    </row>
    <row r="18" spans="1:9" x14ac:dyDescent="0.35">
      <c r="A18" s="5" t="s">
        <v>574</v>
      </c>
      <c r="B18" s="6"/>
      <c r="D18" s="4" t="s">
        <v>559</v>
      </c>
      <c r="E18">
        <v>2019</v>
      </c>
      <c r="F18">
        <v>2020</v>
      </c>
      <c r="G18">
        <v>2021</v>
      </c>
      <c r="H18">
        <v>2022</v>
      </c>
      <c r="I18" t="s">
        <v>574</v>
      </c>
    </row>
    <row r="19" spans="1:9" x14ac:dyDescent="0.35">
      <c r="D19" s="5" t="s">
        <v>10</v>
      </c>
      <c r="E19" s="6">
        <v>1741089</v>
      </c>
      <c r="F19" s="6">
        <v>13025539</v>
      </c>
      <c r="G19" s="6">
        <v>26065176</v>
      </c>
      <c r="H19" s="6">
        <v>50500</v>
      </c>
      <c r="I19" s="6">
        <v>40882304</v>
      </c>
    </row>
    <row r="20" spans="1:9" x14ac:dyDescent="0.35">
      <c r="D20" s="5" t="s">
        <v>15</v>
      </c>
      <c r="E20" s="6">
        <v>514989</v>
      </c>
      <c r="F20" s="6">
        <v>73526712</v>
      </c>
      <c r="G20" s="6"/>
      <c r="H20" s="6">
        <v>4559778</v>
      </c>
      <c r="I20" s="6">
        <v>78601479</v>
      </c>
    </row>
    <row r="21" spans="1:9" x14ac:dyDescent="0.35">
      <c r="D21" s="5" t="s">
        <v>20</v>
      </c>
      <c r="E21" s="6">
        <v>1148912</v>
      </c>
      <c r="F21" s="6">
        <v>26583050</v>
      </c>
      <c r="G21" s="6">
        <v>26208742</v>
      </c>
      <c r="H21" s="6">
        <v>63900</v>
      </c>
      <c r="I21" s="6">
        <v>54004604</v>
      </c>
    </row>
    <row r="22" spans="1:9" x14ac:dyDescent="0.35">
      <c r="D22" s="5" t="s">
        <v>27</v>
      </c>
      <c r="E22" s="6">
        <v>1400990</v>
      </c>
      <c r="F22" s="6">
        <v>113930514</v>
      </c>
      <c r="G22" s="6">
        <v>26546132</v>
      </c>
      <c r="H22" s="6"/>
      <c r="I22" s="6">
        <v>141877636</v>
      </c>
    </row>
    <row r="23" spans="1:9" x14ac:dyDescent="0.35">
      <c r="D23" s="5" t="s">
        <v>29</v>
      </c>
      <c r="E23" s="6">
        <v>1757908</v>
      </c>
      <c r="F23" s="6">
        <v>22052614</v>
      </c>
      <c r="G23" s="6">
        <v>123507334</v>
      </c>
      <c r="H23" s="6">
        <v>116061753</v>
      </c>
      <c r="I23" s="6">
        <v>263379609</v>
      </c>
    </row>
    <row r="24" spans="1:9" x14ac:dyDescent="0.35">
      <c r="D24" s="5" t="s">
        <v>18</v>
      </c>
      <c r="E24" s="6">
        <v>7089247</v>
      </c>
      <c r="F24" s="6"/>
      <c r="G24" s="6"/>
      <c r="H24" s="6">
        <v>83149084</v>
      </c>
      <c r="I24" s="6">
        <v>90238331</v>
      </c>
    </row>
    <row r="25" spans="1:9" x14ac:dyDescent="0.35">
      <c r="D25" s="5" t="s">
        <v>24</v>
      </c>
      <c r="E25" s="6">
        <v>5154624</v>
      </c>
      <c r="F25" s="6">
        <v>10877825</v>
      </c>
      <c r="G25" s="6">
        <v>24662328</v>
      </c>
      <c r="H25" s="6">
        <v>38452241</v>
      </c>
      <c r="I25" s="6">
        <v>79147018</v>
      </c>
    </row>
    <row r="26" spans="1:9" x14ac:dyDescent="0.35">
      <c r="D26" s="5" t="s">
        <v>574</v>
      </c>
      <c r="E26" s="6">
        <v>18807759</v>
      </c>
      <c r="F26" s="6">
        <v>259996254</v>
      </c>
      <c r="G26" s="6">
        <v>226989712</v>
      </c>
      <c r="H26" s="6">
        <v>242337256</v>
      </c>
      <c r="I26" s="6">
        <v>748130981</v>
      </c>
    </row>
    <row r="28" spans="1:9" x14ac:dyDescent="0.35">
      <c r="D28" s="5" t="s">
        <v>577</v>
      </c>
    </row>
    <row r="29" spans="1:9" x14ac:dyDescent="0.35">
      <c r="D29" t="s">
        <v>4</v>
      </c>
      <c r="E29">
        <f>E18</f>
        <v>2019</v>
      </c>
      <c r="F29">
        <f>F18</f>
        <v>2020</v>
      </c>
      <c r="G29">
        <f>G18</f>
        <v>2021</v>
      </c>
      <c r="H29">
        <f>H18</f>
        <v>2022</v>
      </c>
    </row>
    <row r="30" spans="1:9" x14ac:dyDescent="0.35">
      <c r="D30" s="5" t="s">
        <v>578</v>
      </c>
      <c r="E30" cm="1">
        <f t="array" ref="E30">SUMPRODUCT(LARGE(E19:E25,{1,2,3}))</f>
        <v>14001779</v>
      </c>
      <c r="F30" cm="1">
        <f t="array" ref="F30">SUMPRODUCT(LARGE(F19:F25,{1,2,3}))</f>
        <v>214040276</v>
      </c>
      <c r="G30" cm="1">
        <f t="array" ref="G30">SUMPRODUCT(LARGE(G19:G25,{1,2,3}))</f>
        <v>176262208</v>
      </c>
      <c r="H30" cm="1">
        <f t="array" ref="H30">SUMPRODUCT(LARGE(H19:H25,{1,2,3}))</f>
        <v>237663078</v>
      </c>
    </row>
    <row r="31" spans="1:9" x14ac:dyDescent="0.35">
      <c r="D31" t="s">
        <v>579</v>
      </c>
      <c r="E31" s="6">
        <f>E26</f>
        <v>18807759</v>
      </c>
      <c r="F31" s="6">
        <f t="shared" ref="F31:H31" si="0">F26</f>
        <v>259996254</v>
      </c>
      <c r="G31" s="6">
        <f t="shared" si="0"/>
        <v>226989712</v>
      </c>
      <c r="H31" s="6">
        <f t="shared" si="0"/>
        <v>242337256</v>
      </c>
    </row>
    <row r="32" spans="1:9" x14ac:dyDescent="0.35">
      <c r="D32" s="5" t="s">
        <v>580</v>
      </c>
      <c r="E32" s="8">
        <f>E30/E31</f>
        <v>0.74446822718219641</v>
      </c>
      <c r="F32" s="8">
        <f t="shared" ref="F32:H32" si="1">F30/F31</f>
        <v>0.82324369181103663</v>
      </c>
      <c r="G32" s="8">
        <f t="shared" si="1"/>
        <v>0.77652069094655707</v>
      </c>
      <c r="H32" s="8">
        <f t="shared" si="1"/>
        <v>0.9807120948831739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A8E62-40C9-41F9-9D32-2EADFDB88EF0}">
  <dimension ref="A1"/>
  <sheetViews>
    <sheetView zoomScale="78" workbookViewId="0">
      <selection activeCell="T4" sqref="T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E0CC-0E9F-4BDC-8A2F-FCB617AAF415}">
  <dimension ref="A1"/>
  <sheetViews>
    <sheetView showGridLines="0" tabSelected="1" zoomScale="80" zoomScaleNormal="80" workbookViewId="0">
      <selection activeCell="T13" sqref="T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PivotTable</vt:lpstr>
      <vt:lpstr>Charts</vt:lpstr>
      <vt:lpstr>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Favour Ibe</cp:lastModifiedBy>
  <cp:revision>0</cp:revision>
  <dcterms:created xsi:type="dcterms:W3CDTF">2026-07-29T20:46:58Z</dcterms:created>
  <dcterms:modified xsi:type="dcterms:W3CDTF">2026-07-30T01:06:22Z</dcterms:modified>
  <dc:language>en-US</dc:language>
</cp:coreProperties>
</file>